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atches" sheetId="2" state="visible" r:id="rId2"/>
    <sheet name="Historico" sheetId="3" state="visible" r:id="rId3"/>
    <sheet name="Bajo umbral" sheetId="4" state="visible" r:id="rId4"/>
    <sheet name="Descartes (auditoria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B57"/>
      <sz val="15"/>
    </font>
    <font>
      <name val="Arial"/>
      <color rgb="005A6572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color rgb="005A6572"/>
      <sz val="9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3B57"/>
      </patternFill>
    </fill>
  </fills>
  <borders count="4">
    <border>
      <left/>
      <right/>
      <top/>
      <bottom/>
      <diagonal/>
    </border>
    <border>
      <bottom style="thin">
        <color rgb="00E3E7EA"/>
      </bottom>
    </border>
    <border>
      <left/>
      <right/>
      <top/>
      <bottom style="thin">
        <color rgb="00E3E7EA"/>
      </bottom>
      <diagonal/>
    </border>
    <border>
      <bottom style="thin">
        <color rgb="00D0D5D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3" applyAlignment="1" pivotButton="0" quotePrefix="0" xfId="0">
      <alignment vertical="center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Observatorio de licitaciones — Mercado Publico</t>
        </is>
      </c>
    </row>
    <row r="2">
      <c r="A2" s="2" t="inlineStr">
        <is>
          <t>Corrida 2026-08-25 16:50 · UF 40,864.55 · 0 licitaciones activas barridas</t>
        </is>
      </c>
    </row>
    <row r="4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Matches totales</t>
        </is>
      </c>
      <c r="B5" s="5">
        <f>COUNTA(Matches!P2:P1)</f>
        <v/>
      </c>
    </row>
    <row r="6">
      <c r="A6" s="4" t="inlineStr">
        <is>
          <t>NUEVAS esta corrida</t>
        </is>
      </c>
      <c r="B6" s="5">
        <f>COUNTIF(Matches!A2:A1,"SI")</f>
        <v/>
      </c>
    </row>
    <row r="7">
      <c r="A7" s="4" t="inlineStr">
        <is>
          <t>Con cambios</t>
        </is>
      </c>
      <c r="B7" s="5">
        <f>COUNTIF(Matches!B2:B1,"CAMBIO*")</f>
        <v/>
      </c>
    </row>
    <row r="8">
      <c r="A8" s="4" t="inlineStr">
        <is>
          <t>Prioridad ALTA</t>
        </is>
      </c>
      <c r="B8" s="5">
        <f>COUNTIF(Matches!C2:C1,"ALTA")</f>
        <v/>
      </c>
    </row>
    <row r="9">
      <c r="A9" s="4" t="inlineStr">
        <is>
          <t>Mandatos de servicio</t>
        </is>
      </c>
      <c r="B9" s="5">
        <f>COUNTIF(Matches!E2:E1,"Mandato de SERVICIO")</f>
        <v/>
      </c>
    </row>
    <row r="10">
      <c r="A10" s="4" t="inlineStr">
        <is>
          <t>Estado busca inmueble</t>
        </is>
      </c>
      <c r="B10" s="5">
        <f>COUNTIF(Matches!E2:E1,"Estado BUSCA inmueble")</f>
        <v/>
      </c>
    </row>
    <row r="11">
      <c r="A11" s="4" t="inlineStr">
        <is>
          <t>Estado ofrece inmueble</t>
        </is>
      </c>
      <c r="B11" s="5">
        <f>COUNTIF(Matches!E2:E1,"Estado OFRECE inmueble")</f>
        <v/>
      </c>
    </row>
    <row r="12">
      <c r="A12" s="4" t="inlineStr">
        <is>
          <t>Sugeridas a Gamma</t>
        </is>
      </c>
      <c r="B12" s="5">
        <f>COUNTIF(Matches!G2:G1,"Gamma")</f>
        <v/>
      </c>
    </row>
    <row r="13">
      <c r="A13" s="4" t="inlineStr">
        <is>
          <t>Sugeridas a Realsa Brokers</t>
        </is>
      </c>
      <c r="B13" s="5">
        <f>COUNTIF(Matches!G2:G1,"Realsa Brokers")</f>
        <v/>
      </c>
    </row>
    <row r="14">
      <c r="A14" s="4" t="inlineStr">
        <is>
          <t>Cierran en &lt;= 7 dias</t>
        </is>
      </c>
      <c r="B14" s="5">
        <f>COUNTIFS(Matches!N2:N1,"&lt;=7",Matches!N2:N1,"&gt;=0")</f>
        <v/>
      </c>
    </row>
    <row r="15">
      <c r="A15" s="4" t="inlineStr">
        <is>
          <t>Monto UF agregado (publicado)</t>
        </is>
      </c>
      <c r="B15" s="5">
        <f>SUM(Matches!M2:M1)</f>
        <v/>
      </c>
    </row>
    <row r="16">
      <c r="A16" s="6" t="inlineStr">
        <is>
          <t>Marca de novedad: la columna "Nueva" vale SI cuando la licitacion no aparecia en ninguna corrida anterior; toda la fila queda con fondo verde. Fondo ambar = la licitacion ya estaba en el radar pero cambio de estado, fecha de cierre o monto (el detalle va en la columna "Novedad"). La comparacion se hace contra la hoja Historico, que acumula todas las corridas.</t>
        </is>
      </c>
    </row>
    <row r="17"/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21">
      <c r="A21" s="8" t="inlineStr">
        <is>
          <t>Umbrales aplicados: Region Metropolitana desde UF 500.0 · resto del pais desde UF 2000.0 · minimo 1 dias al cierre. Las licitaciones sin monto publicado NO se descartan: pasan marcadas como "no publicado" (Mercado Publico permite ocultar el monto estimado). Fuente: API oficial api.mercadopublico.cl. Valor UF: mindicador.cl.</t>
        </is>
      </c>
    </row>
    <row r="22"/>
    <row r="23"/>
    <row r="24"/>
  </sheetData>
  <mergeCells count="2">
    <mergeCell ref="A16:H18"/>
    <mergeCell ref="A21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7" customWidth="1" min="4" max="4"/>
    <col width="22" customWidth="1" min="5" max="5"/>
    <col width="52" customWidth="1" min="6" max="6"/>
    <col width="16" customWidth="1" min="7" max="7"/>
    <col width="52" customWidth="1" min="8" max="8"/>
    <col width="34" customWidth="1" min="9" max="9"/>
    <col width="24" customWidth="1" min="10" max="10"/>
    <col width="6" customWidth="1" min="11" max="11"/>
    <col width="18" customWidth="1" min="12" max="12"/>
    <col width="12" customWidth="1" min="13" max="13"/>
    <col width="13" customWidth="1" min="14" max="14"/>
    <col width="17" customWidth="1" min="15" max="15"/>
    <col width="18" customWidth="1" min="16" max="16"/>
    <col width="46" customWidth="1" min="17" max="17"/>
    <col width="38" customWidth="1" min="18" max="18"/>
    <col width="60" customWidth="1" min="19" max="19"/>
    <col width="22" customWidth="1" min="20" max="20"/>
    <col width="26" customWidth="1" min="21" max="21"/>
    <col width="30" customWidth="1" min="22" max="22"/>
  </cols>
  <sheetData>
    <row r="1" ht="30" customHeight="1">
      <c r="A1" s="9" t="inlineStr">
        <is>
          <t>Nueva</t>
        </is>
      </c>
      <c r="B1" s="9" t="inlineStr">
        <is>
          <t>Novedad</t>
        </is>
      </c>
      <c r="C1" s="9" t="inlineStr">
        <is>
          <t>Prioridad</t>
        </is>
      </c>
      <c r="D1" s="9" t="inlineStr">
        <is>
          <t>Score</t>
        </is>
      </c>
      <c r="E1" s="9" t="inlineStr">
        <is>
          <t>Tipo de oportunidad</t>
        </is>
      </c>
      <c r="F1" s="9" t="inlineStr">
        <is>
          <t>Accion sugerida</t>
        </is>
      </c>
      <c r="G1" s="9" t="inlineStr">
        <is>
          <t>Entidad sugerida</t>
        </is>
      </c>
      <c r="H1" s="9" t="inlineStr">
        <is>
          <t>Nombre</t>
        </is>
      </c>
      <c r="I1" s="9" t="inlineStr">
        <is>
          <t>Organismo</t>
        </is>
      </c>
      <c r="J1" s="9" t="inlineStr">
        <is>
          <t>Region</t>
        </is>
      </c>
      <c r="K1" s="9" t="inlineStr">
        <is>
          <t>Tipo</t>
        </is>
      </c>
      <c r="L1" s="9" t="inlineStr">
        <is>
          <t>Monto publicado</t>
        </is>
      </c>
      <c r="M1" s="9" t="inlineStr">
        <is>
          <t>Monto UF</t>
        </is>
      </c>
      <c r="N1" s="9" t="inlineStr">
        <is>
          <t>Dias al cierre</t>
        </is>
      </c>
      <c r="O1" s="9" t="inlineStr">
        <is>
          <t>Cierre</t>
        </is>
      </c>
      <c r="P1" s="9" t="inlineStr">
        <is>
          <t>Codigo</t>
        </is>
      </c>
      <c r="Q1" s="9" t="inlineStr">
        <is>
          <t>Por que calza</t>
        </is>
      </c>
      <c r="R1" s="9" t="inlineStr">
        <is>
          <t>Razon entidad</t>
        </is>
      </c>
      <c r="S1" s="9" t="inlineStr">
        <is>
          <t>Descripcion</t>
        </is>
      </c>
      <c r="T1" s="9" t="inlineStr">
        <is>
          <t>Contacto</t>
        </is>
      </c>
      <c r="U1" s="9" t="inlineStr">
        <is>
          <t>Email contacto</t>
        </is>
      </c>
      <c r="V1" s="9" t="inlineStr">
        <is>
          <t>URL</t>
        </is>
      </c>
    </row>
    <row r="2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8" customWidth="1" min="3" max="3"/>
    <col width="7" customWidth="1" min="4" max="4"/>
    <col width="18" customWidth="1" min="5" max="5"/>
    <col width="17" customWidth="1" min="6" max="6"/>
    <col width="12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Entidad</t>
        </is>
      </c>
      <c r="D1" s="9" t="inlineStr">
        <is>
          <t>Score</t>
        </is>
      </c>
      <c r="E1" s="9" t="inlineStr">
        <is>
          <t>Estado</t>
        </is>
      </c>
      <c r="F1" s="9" t="inlineStr">
        <is>
          <t>Cierre</t>
        </is>
      </c>
      <c r="G1" s="9" t="inlineStr">
        <is>
          <t>Monto UF</t>
        </is>
      </c>
      <c r="H1" s="9" t="inlineStr">
        <is>
          <t>Primera vista</t>
        </is>
      </c>
      <c r="I1" s="9" t="inlineStr">
        <is>
          <t>Ultima vista</t>
        </is>
      </c>
      <c r="J1" s="9" t="inlineStr">
        <is>
          <t>Semanas en radar</t>
        </is>
      </c>
    </row>
    <row r="2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34" customWidth="1" min="3" max="3"/>
    <col width="24" customWidth="1" min="4" max="4"/>
    <col width="6" customWidth="1" min="5" max="5"/>
    <col width="18" customWidth="1" min="6" max="6"/>
    <col width="12" customWidth="1" min="7" max="7"/>
    <col width="30" customWidth="1" min="8" max="8"/>
    <col width="17" customWidth="1" min="9" max="9"/>
    <col width="38" customWidth="1" min="10" max="10"/>
    <col width="18" customWidth="1" min="11" max="11"/>
    <col width="30" customWidth="1" min="12" max="12"/>
  </cols>
  <sheetData>
    <row r="1" ht="30" customHeight="1">
      <c r="A1" s="9" t="inlineStr">
        <is>
          <t>Score</t>
        </is>
      </c>
      <c r="B1" s="9" t="inlineStr">
        <is>
          <t>Nombre</t>
        </is>
      </c>
      <c r="C1" s="9" t="inlineStr">
        <is>
          <t>Organismo</t>
        </is>
      </c>
      <c r="D1" s="9" t="inlineStr">
        <is>
          <t>Region</t>
        </is>
      </c>
      <c r="E1" s="9" t="inlineStr">
        <is>
          <t>Tipo</t>
        </is>
      </c>
      <c r="F1" s="9" t="inlineStr">
        <is>
          <t>Monto publicado</t>
        </is>
      </c>
      <c r="G1" s="9" t="inlineStr">
        <is>
          <t>Monto UF</t>
        </is>
      </c>
      <c r="H1" s="9" t="inlineStr">
        <is>
          <t>Rango estimado por tipo</t>
        </is>
      </c>
      <c r="I1" s="9" t="inlineStr">
        <is>
          <t>Cierre</t>
        </is>
      </c>
      <c r="J1" s="9" t="inlineStr">
        <is>
          <t>Por que no entro</t>
        </is>
      </c>
      <c r="K1" s="9" t="inlineStr">
        <is>
          <t>Codigo</t>
        </is>
      </c>
      <c r="L1" s="9" t="inlineStr">
        <is>
          <t>URL</t>
        </is>
      </c>
    </row>
    <row r="2"/>
    <row r="3">
      <c r="A3" s="10" t="inlineStr">
        <is>
          <t>Estas licitaciones SI calzan con el servicio, pero quedan fuera por monto o plazo. Ojo: Mercado Publico publica el valor del CONTRATO (honorario), no el valor del activo — una tasacion de un edificio grande puede aparecer como UF 73. Revisar antes de descartar.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46" customWidth="1" min="4" max="4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Score</t>
        </is>
      </c>
      <c r="D1" s="9" t="inlineStr">
        <is>
          <t>Motivo del descarte</t>
        </is>
      </c>
    </row>
    <row r="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2026-08-25T16:50:37Z</dcterms:created>
  <dcterms:modified xsi:type="dcterms:W3CDTF">2026-08-25T16:50:37Z</dcterms:modified>
</cp:coreProperties>
</file>