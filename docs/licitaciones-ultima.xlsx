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Matches" sheetId="2" state="visible" r:id="rId2"/>
    <sheet name="Historico" sheetId="3" state="visible" r:id="rId3"/>
    <sheet name="Bajo umbral" sheetId="4" state="visible" r:id="rId4"/>
    <sheet name="Descartes (auditoria)" sheetId="5" state="visible" r:id="rId5"/>
  </sheets>
  <definedNames>
    <definedName name="_xlnm._FilterDatabase" localSheetId="1" hidden="1">'Matches'!$A$1:$V$7</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1F3B57"/>
      <sz val="15"/>
    </font>
    <font>
      <name val="Arial"/>
      <color rgb="005A6572"/>
      <sz val="10"/>
    </font>
    <font>
      <name val="Arial"/>
      <b val="1"/>
      <color rgb="00FFFFFF"/>
    </font>
    <font>
      <name val="Arial"/>
      <sz val="10"/>
    </font>
    <font>
      <name val="Arial"/>
      <b val="1"/>
      <sz val="10"/>
    </font>
    <font>
      <name val="Arial"/>
      <i val="1"/>
      <color rgb="005A6572"/>
      <sz val="9"/>
    </font>
    <font>
      <name val="Arial"/>
      <b val="1"/>
      <color rgb="00FFFFFF"/>
      <sz val="10"/>
    </font>
    <font>
      <name val="Arial"/>
      <b val="1"/>
      <color rgb="009AA5B1"/>
      <sz val="11"/>
    </font>
    <font>
      <name val="Arial"/>
      <b val="1"/>
      <color rgb="00A32626"/>
      <sz val="10"/>
    </font>
    <font>
      <name val="Arial"/>
      <color rgb="000563C1"/>
      <sz val="10"/>
      <u val="single"/>
    </font>
    <font>
      <name val="Arial"/>
      <b val="1"/>
      <color rgb="001E7A4B"/>
      <sz val="11"/>
    </font>
    <font>
      <name val="Arial"/>
      <b val="1"/>
      <color rgb="001E7A4B"/>
      <sz val="10"/>
    </font>
    <font>
      <name val="Arial"/>
      <b val="1"/>
      <color rgb="00B7791F"/>
      <sz val="10"/>
    </font>
  </fonts>
  <fills count="5">
    <fill>
      <patternFill/>
    </fill>
    <fill>
      <patternFill patternType="gray125"/>
    </fill>
    <fill>
      <patternFill patternType="solid">
        <fgColor rgb="001F3B57"/>
      </patternFill>
    </fill>
    <fill>
      <patternFill patternType="solid">
        <fgColor rgb="00E8F6EE"/>
      </patternFill>
    </fill>
    <fill>
      <patternFill patternType="solid">
        <fgColor rgb="00DCF2E4"/>
      </patternFill>
    </fill>
  </fills>
  <borders count="4">
    <border>
      <left/>
      <right/>
      <top/>
      <bottom/>
      <diagonal/>
    </border>
    <border>
      <bottom style="thin">
        <color rgb="00E3E7EA"/>
      </bottom>
    </border>
    <border>
      <left/>
      <right/>
      <top/>
      <bottom style="thin">
        <color rgb="00E3E7EA"/>
      </bottom>
      <diagonal/>
    </border>
    <border>
      <bottom style="thin">
        <color rgb="00D0D5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pivotButton="0" quotePrefix="0" xfId="0"/>
    <xf numFmtId="3" fontId="5" fillId="0" borderId="1" pivotButton="0" quotePrefix="0" xfId="0"/>
    <xf numFmtId="0" fontId="6" fillId="0" borderId="1" applyAlignment="1" pivotButton="0" quotePrefix="0" xfId="0">
      <alignment vertical="top" wrapText="1"/>
    </xf>
    <xf numFmtId="0" fontId="0" fillId="0" borderId="2" pivotButton="0" quotePrefix="0" xfId="0"/>
    <xf numFmtId="0" fontId="6" fillId="0" borderId="0" applyAlignment="1" pivotButton="0" quotePrefix="0" xfId="0">
      <alignment vertical="top" wrapText="1"/>
    </xf>
    <xf numFmtId="0" fontId="7" fillId="2" borderId="3" applyAlignment="1" pivotButton="0" quotePrefix="0" xfId="0">
      <alignment vertical="center" wrapText="1"/>
    </xf>
    <xf numFmtId="0" fontId="8" fillId="0" borderId="1" applyAlignment="1" pivotButton="0" quotePrefix="0" xfId="0">
      <alignment horizontal="center" vertical="center"/>
    </xf>
    <xf numFmtId="0" fontId="4" fillId="0" borderId="1" applyAlignment="1" pivotButton="0" quotePrefix="0" xfId="0">
      <alignment vertical="top"/>
    </xf>
    <xf numFmtId="0" fontId="9" fillId="0" borderId="1" applyAlignment="1" pivotButton="0" quotePrefix="0" xfId="0">
      <alignment vertical="top"/>
    </xf>
    <xf numFmtId="0" fontId="4" fillId="0" borderId="1" applyAlignment="1" pivotButton="0" quotePrefix="0" xfId="0">
      <alignment vertical="top" wrapText="1"/>
    </xf>
    <xf numFmtId="0" fontId="10" fillId="0" borderId="1" applyAlignment="1" pivotButton="0" quotePrefix="0" xfId="0">
      <alignment vertical="top"/>
    </xf>
    <xf numFmtId="0" fontId="11" fillId="3" borderId="1" applyAlignment="1" pivotButton="0" quotePrefix="0" xfId="0">
      <alignment horizontal="center" vertical="center"/>
    </xf>
    <xf numFmtId="0" fontId="12" fillId="4" borderId="1" applyAlignment="1" pivotButton="0" quotePrefix="0" xfId="0">
      <alignment vertical="top"/>
    </xf>
    <xf numFmtId="0" fontId="9" fillId="3"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10" fillId="3" borderId="1" applyAlignment="1" pivotButton="0" quotePrefix="0" xfId="0">
      <alignment vertical="top"/>
    </xf>
    <xf numFmtId="0" fontId="13" fillId="0" borderId="1"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ercadopublico.cl/Procurement/Modules/RFB/DetailsAcquisition.aspx?idlicitacion=4142-10-LE26" TargetMode="External" Id="rId1" /><Relationship Type="http://schemas.openxmlformats.org/officeDocument/2006/relationships/hyperlink" Target="https://www.mercadopublico.cl/Procurement/Modules/RFB/DetailsAcquisition.aspx?idlicitacion=2495-25-LE26" TargetMode="External" Id="rId2" /><Relationship Type="http://schemas.openxmlformats.org/officeDocument/2006/relationships/hyperlink" Target="https://www.mercadopublico.cl/Procurement/Modules/RFB/DetailsAcquisition.aspx?idlicitacion=4022-22-LE26" TargetMode="External" Id="rId3" /><Relationship Type="http://schemas.openxmlformats.org/officeDocument/2006/relationships/hyperlink" Target="https://www.mercadopublico.cl/Procurement/Modules/RFB/DetailsAcquisition.aspx?idlicitacion=1080623-3-LE26" TargetMode="External" Id="rId4" /><Relationship Type="http://schemas.openxmlformats.org/officeDocument/2006/relationships/hyperlink" Target="https://www.mercadopublico.cl/Procurement/Modules/RFB/DetailsAcquisition.aspx?idlicitacion=552578-51-L126" TargetMode="External" Id="rId5" /><Relationship Type="http://schemas.openxmlformats.org/officeDocument/2006/relationships/hyperlink" Target="https://www.mercadopublico.cl/Procurement/Modules/RFB/DetailsAcquisition.aspx?idlicitacion=3621-59-LR26" TargetMode="External" Id="rId6" /></Relationships>
</file>

<file path=xl/worksheets/_rels/sheet4.xml.rels><Relationships xmlns="http://schemas.openxmlformats.org/package/2006/relationships"><Relationship Type="http://schemas.openxmlformats.org/officeDocument/2006/relationships/hyperlink" Target="https://www.mercadopublico.cl/Procurement/Modules/RFB/DetailsAcquisition.aspx?idlicitacion=806-20-LE26" TargetMode="External" Id="rId1"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8" customWidth="1" min="2" max="2"/>
  </cols>
  <sheetData>
    <row r="1">
      <c r="A1" s="1" t="inlineStr">
        <is>
          <t>Observatorio de licitaciones — Mercado Publico</t>
        </is>
      </c>
    </row>
    <row r="2">
      <c r="A2" s="2" t="inlineStr">
        <is>
          <t>Corrida 2026-10-28 21:22 · UF 41,231.70 · 5,000 licitaciones activas barridas</t>
        </is>
      </c>
    </row>
    <row r="4">
      <c r="A4" s="3" t="inlineStr">
        <is>
          <t>Indicador</t>
        </is>
      </c>
      <c r="B4" s="3" t="inlineStr">
        <is>
          <t>Valor</t>
        </is>
      </c>
    </row>
    <row r="5">
      <c r="A5" s="4" t="inlineStr">
        <is>
          <t>Matches totales</t>
        </is>
      </c>
      <c r="B5" s="5">
        <f>COUNTA(Matches!P2:P7)</f>
        <v/>
      </c>
    </row>
    <row r="6">
      <c r="A6" s="4" t="inlineStr">
        <is>
          <t>NUEVAS esta corrida</t>
        </is>
      </c>
      <c r="B6" s="5">
        <f>COUNTIF(Matches!A2:A7,"SI")</f>
        <v/>
      </c>
    </row>
    <row r="7">
      <c r="A7" s="4" t="inlineStr">
        <is>
          <t>Con cambios</t>
        </is>
      </c>
      <c r="B7" s="5">
        <f>COUNTIF(Matches!B2:B7,"CAMBIO*")</f>
        <v/>
      </c>
    </row>
    <row r="8">
      <c r="A8" s="4" t="inlineStr">
        <is>
          <t>Prioridad ALTA</t>
        </is>
      </c>
      <c r="B8" s="5">
        <f>COUNTIF(Matches!C2:C7,"ALTA")</f>
        <v/>
      </c>
    </row>
    <row r="9">
      <c r="A9" s="4" t="inlineStr">
        <is>
          <t>Mandatos de servicio</t>
        </is>
      </c>
      <c r="B9" s="5">
        <f>COUNTIF(Matches!E2:E7,"Mandato de SERVICIO")</f>
        <v/>
      </c>
    </row>
    <row r="10">
      <c r="A10" s="4" t="inlineStr">
        <is>
          <t>Estado busca inmueble</t>
        </is>
      </c>
      <c r="B10" s="5">
        <f>COUNTIF(Matches!E2:E7,"Estado BUSCA inmueble")</f>
        <v/>
      </c>
    </row>
    <row r="11">
      <c r="A11" s="4" t="inlineStr">
        <is>
          <t>Estado ofrece inmueble</t>
        </is>
      </c>
      <c r="B11" s="5">
        <f>COUNTIF(Matches!E2:E7,"Estado OFRECE inmueble")</f>
        <v/>
      </c>
    </row>
    <row r="12">
      <c r="A12" s="4" t="inlineStr">
        <is>
          <t>Sugeridas a Gamma</t>
        </is>
      </c>
      <c r="B12" s="5">
        <f>COUNTIF(Matches!G2:G7,"Gamma")</f>
        <v/>
      </c>
    </row>
    <row r="13">
      <c r="A13" s="4" t="inlineStr">
        <is>
          <t>Sugeridas a Realsa Brokers</t>
        </is>
      </c>
      <c r="B13" s="5">
        <f>COUNTIF(Matches!G2:G7,"Realsa Brokers")</f>
        <v/>
      </c>
    </row>
    <row r="14">
      <c r="A14" s="4" t="inlineStr">
        <is>
          <t>Cierran en &lt;= 7 dias</t>
        </is>
      </c>
      <c r="B14" s="5">
        <f>COUNTIFS(Matches!N2:N7,"&lt;=7",Matches!N2:N7,"&gt;=0")</f>
        <v/>
      </c>
    </row>
    <row r="15">
      <c r="A15" s="4" t="inlineStr">
        <is>
          <t>Monto UF agregado (publicado)</t>
        </is>
      </c>
      <c r="B15" s="5">
        <f>SUM(Matches!M2:M7)</f>
        <v/>
      </c>
    </row>
    <row r="16">
      <c r="A16" s="6" t="inlineStr">
        <is>
          <t>Marca de novedad: la columna "Nueva" vale SI cuando la licitacion no aparecia en ninguna corrida anterior; toda la fila queda con fondo verde. Fondo ambar = la licitacion ya estaba en el radar pero cambio de estado, fecha de cierre o monto (el detalle va en la columna "Novedad"). La comparacion se hace contra la hoja Historico, que acumula todas las corridas.</t>
        </is>
      </c>
    </row>
    <row r="17"/>
    <row r="18">
      <c r="A18" s="7" t="n"/>
      <c r="B18" s="7" t="n"/>
      <c r="C18" s="7" t="n"/>
      <c r="D18" s="7" t="n"/>
      <c r="E18" s="7" t="n"/>
      <c r="F18" s="7" t="n"/>
      <c r="G18" s="7" t="n"/>
      <c r="H18" s="7" t="n"/>
    </row>
    <row r="21">
      <c r="A21" s="8" t="inlineStr">
        <is>
          <t>Umbrales aplicados: Region Metropolitana desde UF 500.0 · resto del pais desde UF 2000.0 · minimo 1 dias al cierre. Las licitaciones sin monto publicado NO se descartan: pasan marcadas como "no publicado" (Mercado Publico permite ocultar el monto estimado). Fuente: API oficial api.mercadopublico.cl. Valor UF: mindicador.cl.</t>
        </is>
      </c>
    </row>
    <row r="22"/>
    <row r="23"/>
    <row r="24"/>
  </sheetData>
  <mergeCells count="2">
    <mergeCell ref="A16:H18"/>
    <mergeCell ref="A21:H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7" customWidth="1" min="4" max="4"/>
    <col width="22" customWidth="1" min="5" max="5"/>
    <col width="52" customWidth="1" min="6" max="6"/>
    <col width="16" customWidth="1" min="7" max="7"/>
    <col width="52" customWidth="1" min="8" max="8"/>
    <col width="34" customWidth="1" min="9" max="9"/>
    <col width="24" customWidth="1" min="10" max="10"/>
    <col width="6" customWidth="1" min="11" max="11"/>
    <col width="18" customWidth="1" min="12" max="12"/>
    <col width="12" customWidth="1" min="13" max="13"/>
    <col width="13" customWidth="1" min="14" max="14"/>
    <col width="17" customWidth="1" min="15" max="15"/>
    <col width="18" customWidth="1" min="16" max="16"/>
    <col width="46" customWidth="1" min="17" max="17"/>
    <col width="38" customWidth="1" min="18" max="18"/>
    <col width="60" customWidth="1" min="19" max="19"/>
    <col width="22" customWidth="1" min="20" max="20"/>
    <col width="26" customWidth="1" min="21" max="21"/>
    <col width="30" customWidth="1" min="22" max="22"/>
  </cols>
  <sheetData>
    <row r="1" ht="30" customHeight="1">
      <c r="A1" s="9" t="inlineStr">
        <is>
          <t>Nueva</t>
        </is>
      </c>
      <c r="B1" s="9" t="inlineStr">
        <is>
          <t>Novedad</t>
        </is>
      </c>
      <c r="C1" s="9" t="inlineStr">
        <is>
          <t>Prioridad</t>
        </is>
      </c>
      <c r="D1" s="9" t="inlineStr">
        <is>
          <t>Score</t>
        </is>
      </c>
      <c r="E1" s="9" t="inlineStr">
        <is>
          <t>Tipo de oportunidad</t>
        </is>
      </c>
      <c r="F1" s="9" t="inlineStr">
        <is>
          <t>Accion sugerida</t>
        </is>
      </c>
      <c r="G1" s="9" t="inlineStr">
        <is>
          <t>Entidad sugerida</t>
        </is>
      </c>
      <c r="H1" s="9" t="inlineStr">
        <is>
          <t>Nombre</t>
        </is>
      </c>
      <c r="I1" s="9" t="inlineStr">
        <is>
          <t>Organismo</t>
        </is>
      </c>
      <c r="J1" s="9" t="inlineStr">
        <is>
          <t>Region</t>
        </is>
      </c>
      <c r="K1" s="9" t="inlineStr">
        <is>
          <t>Tipo</t>
        </is>
      </c>
      <c r="L1" s="9" t="inlineStr">
        <is>
          <t>Monto publicado</t>
        </is>
      </c>
      <c r="M1" s="9" t="inlineStr">
        <is>
          <t>Monto UF</t>
        </is>
      </c>
      <c r="N1" s="9" t="inlineStr">
        <is>
          <t>Dias al cierre</t>
        </is>
      </c>
      <c r="O1" s="9" t="inlineStr">
        <is>
          <t>Cierre</t>
        </is>
      </c>
      <c r="P1" s="9" t="inlineStr">
        <is>
          <t>Codigo</t>
        </is>
      </c>
      <c r="Q1" s="9" t="inlineStr">
        <is>
          <t>Por que calza</t>
        </is>
      </c>
      <c r="R1" s="9" t="inlineStr">
        <is>
          <t>Razon entidad</t>
        </is>
      </c>
      <c r="S1" s="9" t="inlineStr">
        <is>
          <t>Descripcion</t>
        </is>
      </c>
      <c r="T1" s="9" t="inlineStr">
        <is>
          <t>Contacto</t>
        </is>
      </c>
      <c r="U1" s="9" t="inlineStr">
        <is>
          <t>Email contacto</t>
        </is>
      </c>
      <c r="V1" s="9" t="inlineStr">
        <is>
          <t>URL</t>
        </is>
      </c>
    </row>
    <row r="2" ht="46" customHeight="1">
      <c r="A2" s="10" t="inlineStr">
        <is>
          <t>NO</t>
        </is>
      </c>
      <c r="B2" s="11" t="inlineStr">
        <is>
          <t>VIGENTE</t>
        </is>
      </c>
      <c r="C2" s="12" t="inlineStr">
        <is>
          <t>ALTA</t>
        </is>
      </c>
      <c r="D2" s="11" t="n">
        <v>66</v>
      </c>
      <c r="E2" s="11" t="inlineStr">
        <is>
          <t>Estado BUSCA inmueble</t>
        </is>
      </c>
      <c r="F2" s="13" t="inlineStr">
        <is>
          <t>El organismo demanda un inmueble en arriendo o compra: oportunidad de colocar una propiedad de cartera o de representar al propietario. Confirmar si las bases admiten a un corredor como oferente o exigen al titular del dominio.</t>
        </is>
      </c>
      <c r="G2" s="11" t="inlineStr">
        <is>
          <t>Realsa Brokers</t>
        </is>
      </c>
      <c r="H2" s="13" t="inlineStr">
        <is>
          <t>CONTRATACION ARRIENDO INMUEBLE</t>
        </is>
      </c>
      <c r="I2" s="13" t="inlineStr">
        <is>
          <t>I MUNICIPALIDAD DE PALMILLA</t>
        </is>
      </c>
      <c r="J2" s="11" t="inlineStr">
        <is>
          <t>Región del Libertador General Bernardo O´Higgins</t>
        </is>
      </c>
      <c r="K2" s="11" t="inlineStr">
        <is>
          <t>LE</t>
        </is>
      </c>
      <c r="L2" s="11" t="inlineStr">
        <is>
          <t>no publicado</t>
        </is>
      </c>
      <c r="M2" s="11" t="n"/>
      <c r="N2" s="11" t="n">
        <v>6</v>
      </c>
      <c r="O2" s="11" t="inlineStr">
        <is>
          <t>2026-10-30 12:00</t>
        </is>
      </c>
      <c r="P2" s="11" t="inlineStr">
        <is>
          <t>4142-10-LE26</t>
        </is>
      </c>
      <c r="Q2" s="13" t="inlineStr">
        <is>
          <t>objeto/titulo: inmueble (+14) | transaccion: arriendo (+12) | UNSPSC 80131500 (+40)</t>
        </is>
      </c>
      <c r="R2" s="13" t="inlineStr">
        <is>
          <t>proceso menor o sin ponderacion fuerte de experiencia</t>
        </is>
      </c>
      <c r="S2" s="13" t="inlineStr">
        <is>
          <t>Contratación de servicio de arriendo de un inmueble (terreno) destinado para la unidad Otorrinolaringológica de la comuna de Palmilla.</t>
        </is>
      </c>
      <c r="T2" s="11" t="inlineStr">
        <is>
          <t>Alejandro Lizana Saavedra</t>
        </is>
      </c>
      <c r="U2" s="11" t="inlineStr"/>
      <c r="V2" s="14" t="inlineStr">
        <is>
          <t>Ver ficha</t>
        </is>
      </c>
    </row>
    <row r="3" ht="46" customHeight="1">
      <c r="A3" s="15" t="inlineStr">
        <is>
          <t>SI</t>
        </is>
      </c>
      <c r="B3" s="16" t="inlineStr">
        <is>
          <t>NUEVA</t>
        </is>
      </c>
      <c r="C3" s="17" t="inlineStr">
        <is>
          <t>ALTA</t>
        </is>
      </c>
      <c r="D3" s="18" t="n">
        <v>66</v>
      </c>
      <c r="E3" s="18" t="inlineStr">
        <is>
          <t>Estado BUSCA inmueble</t>
        </is>
      </c>
      <c r="F3" s="19" t="inlineStr">
        <is>
          <t>El organismo demanda un inmueble en arriendo o compra: oportunidad de colocar una propiedad de cartera o de representar al propietario. Confirmar si las bases admiten a un corredor como oferente o exigen al titular del dominio.</t>
        </is>
      </c>
      <c r="G3" s="18" t="inlineStr">
        <is>
          <t>Realsa Brokers</t>
        </is>
      </c>
      <c r="H3" s="19" t="inlineStr">
        <is>
          <t>CONTRATO ARRIENDO INMUEBLE RAYEN</t>
        </is>
      </c>
      <c r="I3" s="19" t="inlineStr">
        <is>
          <t>I MUNICIPALIDAD DE COYHAIQUE</t>
        </is>
      </c>
      <c r="J3" s="18" t="inlineStr">
        <is>
          <t>Región Aysén del General Carlos Ibáñez del Campo</t>
        </is>
      </c>
      <c r="K3" s="18" t="inlineStr">
        <is>
          <t>LE</t>
        </is>
      </c>
      <c r="L3" s="18" t="inlineStr">
        <is>
          <t>no publicado</t>
        </is>
      </c>
      <c r="M3" s="18" t="n"/>
      <c r="N3" s="18" t="n">
        <v>9</v>
      </c>
      <c r="O3" s="18" t="inlineStr">
        <is>
          <t>2026-11-06 15:00</t>
        </is>
      </c>
      <c r="P3" s="18" t="inlineStr">
        <is>
          <t>2495-25-LE26</t>
        </is>
      </c>
      <c r="Q3" s="19" t="inlineStr">
        <is>
          <t>objeto/titulo: inmueble (+14) | transaccion: arriendo (+12) | UNSPSC 80131500 (+40)</t>
        </is>
      </c>
      <c r="R3" s="19" t="inlineStr">
        <is>
          <t>proceso menor o sin ponderacion fuerte de experiencia</t>
        </is>
      </c>
      <c r="S3" s="19" t="inlineStr">
        <is>
          <t>La Ilustre Municipalidad de Coyhaique, a través de la Dirección de Desarrollo Comunitario DIDECO, llama a licitación pública para CONTRATO DE ARRIENDO DE INMUEBLE PARA OFICINAS ADMINISTRATIVAS DEL CENTRO RAYEN Y UN ESPACIO RESIDENCIAL, PARA LA RESIDENCIA TRANSITORIA, con el objetivo de seleccionar al proveedor que, de acuerdo con las presentes bases de licitación, deberá arrendar el inmueble solicitado, de acuerdo con las disposiciones legales vigentes sobre la materia. Este documento regirá la presente licitación pública en todos sus aspectos, en especial, el llamado a propuesta pública, la apertura de las ofertas, la evaluación técnica, la adjudicación, etc., como asimismo, el contrato que se genere como consecuencia de ésta.</t>
        </is>
      </c>
      <c r="T3" s="18" t="inlineStr">
        <is>
          <t>PAZ FOITZICH SANDOVAL</t>
        </is>
      </c>
      <c r="U3" s="18" t="inlineStr"/>
      <c r="V3" s="20" t="inlineStr">
        <is>
          <t>Ver ficha</t>
        </is>
      </c>
    </row>
    <row r="4" ht="46" customHeight="1">
      <c r="A4" s="15" t="inlineStr">
        <is>
          <t>SI</t>
        </is>
      </c>
      <c r="B4" s="16" t="inlineStr">
        <is>
          <t>NUEVA</t>
        </is>
      </c>
      <c r="C4" s="17" t="inlineStr">
        <is>
          <t>ALTA</t>
        </is>
      </c>
      <c r="D4" s="18" t="n">
        <v>66</v>
      </c>
      <c r="E4" s="18" t="inlineStr">
        <is>
          <t>Estado BUSCA inmueble</t>
        </is>
      </c>
      <c r="F4" s="19" t="inlineStr">
        <is>
          <t>El organismo demanda un inmueble en arriendo o compra: oportunidad de colocar una propiedad de cartera o de representar al propietario. Confirmar si las bases admiten a un corredor como oferente o exigen al titular del dominio.</t>
        </is>
      </c>
      <c r="G4" s="18" t="inlineStr">
        <is>
          <t>Realsa Brokers</t>
        </is>
      </c>
      <c r="H4" s="19" t="inlineStr">
        <is>
          <t>ARRIENDO INMUEBLE OFICINA COMUNAL DISCAPACIDAD.</t>
        </is>
      </c>
      <c r="I4" s="19" t="inlineStr">
        <is>
          <t>ILUSTRE MUNICIPALIDAD DE PUTRE</t>
        </is>
      </c>
      <c r="J4" s="18" t="inlineStr">
        <is>
          <t>Región de Arica y Parinacota</t>
        </is>
      </c>
      <c r="K4" s="18" t="inlineStr">
        <is>
          <t>LE</t>
        </is>
      </c>
      <c r="L4" s="18" t="inlineStr">
        <is>
          <t>no publicado</t>
        </is>
      </c>
      <c r="M4" s="18" t="n"/>
      <c r="N4" s="18" t="n">
        <v>12</v>
      </c>
      <c r="O4" s="18" t="inlineStr">
        <is>
          <t>2026-11-09 15:34</t>
        </is>
      </c>
      <c r="P4" s="18" t="inlineStr">
        <is>
          <t>4022-22-LE26</t>
        </is>
      </c>
      <c r="Q4" s="19" t="inlineStr">
        <is>
          <t>objeto/titulo: inmueble (+14) | transaccion: arriendo (+12) | UNSPSC 80131500 (+40)</t>
        </is>
      </c>
      <c r="R4" s="19" t="inlineStr">
        <is>
          <t>proceso menor o sin ponderacion fuerte de experiencia</t>
        </is>
      </c>
      <c r="S4" s="19" t="inlineStr">
        <is>
          <t>ARRIENDO DE UN INMUEBLE DESTINADO AL FUNCIONAMIENTO DE LA OFICINA COMUNAL DE DISCAPACIDAD Y SUS PROGRAMAS ASOCIADOS, PERIODO 2026-2027.</t>
        </is>
      </c>
      <c r="T4" s="18" t="inlineStr">
        <is>
          <t>RENE VIZA QUENAYA</t>
        </is>
      </c>
      <c r="U4" s="18" t="inlineStr"/>
      <c r="V4" s="20" t="inlineStr">
        <is>
          <t>Ver ficha</t>
        </is>
      </c>
    </row>
    <row r="5" ht="46" customHeight="1">
      <c r="A5" s="15" t="inlineStr">
        <is>
          <t>SI</t>
        </is>
      </c>
      <c r="B5" s="16" t="inlineStr">
        <is>
          <t>NUEVA</t>
        </is>
      </c>
      <c r="C5" s="17" t="inlineStr">
        <is>
          <t>ALTA</t>
        </is>
      </c>
      <c r="D5" s="18" t="n">
        <v>66</v>
      </c>
      <c r="E5" s="18" t="inlineStr">
        <is>
          <t>Estado BUSCA inmueble</t>
        </is>
      </c>
      <c r="F5" s="19" t="inlineStr">
        <is>
          <t>El organismo demanda un inmueble en arriendo o compra: oportunidad de colocar una propiedad de cartera o de representar al propietario. Confirmar si las bases admiten a un corredor como oferente o exigen al titular del dominio.</t>
        </is>
      </c>
      <c r="G5" s="18" t="inlineStr">
        <is>
          <t>Realsa Brokers</t>
        </is>
      </c>
      <c r="H5" s="19" t="inlineStr">
        <is>
          <t>CONTRATO DE ARRIENDO INMUEBLE PARA PAI-HCM</t>
        </is>
      </c>
      <c r="I5" s="19" t="inlineStr">
        <is>
          <t>HOSPITAL DE MEJILLONES</t>
        </is>
      </c>
      <c r="J5" s="18" t="inlineStr">
        <is>
          <t>Región de Antofagasta</t>
        </is>
      </c>
      <c r="K5" s="18" t="inlineStr">
        <is>
          <t>LE</t>
        </is>
      </c>
      <c r="L5" s="18" t="inlineStr">
        <is>
          <t>no publicado</t>
        </is>
      </c>
      <c r="M5" s="18" t="n"/>
      <c r="N5" s="18" t="n">
        <v>15</v>
      </c>
      <c r="O5" s="18" t="inlineStr">
        <is>
          <t>2026-11-12 20:00</t>
        </is>
      </c>
      <c r="P5" s="18" t="inlineStr">
        <is>
          <t>1080623-3-LE26</t>
        </is>
      </c>
      <c r="Q5" s="19" t="inlineStr">
        <is>
          <t>objeto/titulo: inmueble (+14) | transaccion: arriendo (+12) | UNSPSC 80131500 (+40)</t>
        </is>
      </c>
      <c r="R5" s="19" t="inlineStr">
        <is>
          <t>proceso menor o sin ponderacion fuerte de experiencia</t>
        </is>
      </c>
      <c r="S5" s="19" t="inlineStr">
        <is>
          <t>El Hospital de Mejillones requiere realizar el arrendamiento de un inmueble que permita otorgar las atenciones consideradas en la Cartera de Prestaciones dependientes del Programa Ambulatorio Intensivo de Alcohol y Drogas PAI.</t>
        </is>
      </c>
      <c r="T5" s="18" t="inlineStr">
        <is>
          <t>Jonathan Jeraldo Sepúlveda</t>
        </is>
      </c>
      <c r="U5" s="18" t="inlineStr"/>
      <c r="V5" s="20" t="inlineStr">
        <is>
          <t>Ver ficha</t>
        </is>
      </c>
    </row>
    <row r="6" ht="46" customHeight="1">
      <c r="A6" s="10" t="inlineStr">
        <is>
          <t>NO</t>
        </is>
      </c>
      <c r="B6" s="11" t="inlineStr">
        <is>
          <t>VIGENTE</t>
        </is>
      </c>
      <c r="C6" s="12" t="inlineStr">
        <is>
          <t>ALTA</t>
        </is>
      </c>
      <c r="D6" s="11" t="n">
        <v>56</v>
      </c>
      <c r="E6" s="11" t="inlineStr">
        <is>
          <t>Estado OFRECE inmueble</t>
        </is>
      </c>
      <c r="F6" s="13" t="inlineStr">
        <is>
          <t>El organismo vende o concesiona un activo: oportunidad de representar comprador/operador o de asesorar el proceso. Revisar bases y valor minimo.</t>
        </is>
      </c>
      <c r="G6" s="11" t="inlineStr">
        <is>
          <t>Realsa Brokers</t>
        </is>
      </c>
      <c r="H6" s="13" t="inlineStr">
        <is>
          <t>CONCESIÓN DE LOCALES COMERCIALES PASEO SAN RAFAEL SEGUNDO LLAMADO</t>
        </is>
      </c>
      <c r="I6" s="13" t="inlineStr">
        <is>
          <t>I MUNICIPALIDAD DE SAN RAFAEL</t>
        </is>
      </c>
      <c r="J6" s="11" t="inlineStr">
        <is>
          <t>Región del Maule</t>
        </is>
      </c>
      <c r="K6" s="11" t="inlineStr">
        <is>
          <t>L1</t>
        </is>
      </c>
      <c r="L6" s="11" t="inlineStr">
        <is>
          <t>no publicado</t>
        </is>
      </c>
      <c r="M6" s="11" t="n"/>
      <c r="N6" s="11" t="n">
        <v>22</v>
      </c>
      <c r="O6" s="11" t="inlineStr">
        <is>
          <t>2026-10-30 18:00</t>
        </is>
      </c>
      <c r="P6" s="11" t="inlineStr">
        <is>
          <t>552578-51-L126</t>
        </is>
      </c>
      <c r="Q6" s="13" t="inlineStr">
        <is>
          <t>objeto/titulo: locales comerciales (+10) | transaccion/desc: arriendo (+6) | UNSPSC 80131500 (+40)</t>
        </is>
      </c>
      <c r="R6" s="13" t="inlineStr">
        <is>
          <t>proceso menor o sin ponderacion fuerte de experiencia</t>
        </is>
      </c>
      <c r="S6" s="13" t="inlineStr">
        <is>
          <t>Con la intención de fomentar el desarrollo productivo y la participación local de los emprendedores de la comuna de San Rafael, se abre la convocatoria para entregar en arriendo 8 locales comerciales del espacio llamado ‘‘Paseo San Rafael’’, con la finalidad de que dicha comercialización sea de productos de interés para la comunidad. Según Bases Administrativas. SEGUNDO LLAMADO</t>
        </is>
      </c>
      <c r="T6" s="11" t="inlineStr">
        <is>
          <t>Héctor Ramírez Calderón</t>
        </is>
      </c>
      <c r="U6" s="11" t="inlineStr"/>
      <c r="V6" s="14" t="inlineStr">
        <is>
          <t>Ver ficha</t>
        </is>
      </c>
    </row>
    <row r="7" ht="46" customHeight="1">
      <c r="A7" s="10" t="inlineStr">
        <is>
          <t>NO</t>
        </is>
      </c>
      <c r="B7" s="11" t="inlineStr">
        <is>
          <t>VIGENTE</t>
        </is>
      </c>
      <c r="C7" s="21" t="inlineStr">
        <is>
          <t>MEDIA</t>
        </is>
      </c>
      <c r="D7" s="11" t="n">
        <v>49</v>
      </c>
      <c r="E7" s="11" t="inlineStr">
        <is>
          <t>Estado OFRECE inmueble</t>
        </is>
      </c>
      <c r="F7" s="13" t="inlineStr">
        <is>
          <t>El organismo vende o concesiona un activo: oportunidad de representar comprador/operador o de asesorar el proceso. Revisar bases y valor minimo.</t>
        </is>
      </c>
      <c r="G7" s="11" t="inlineStr">
        <is>
          <t>Gamma</t>
        </is>
      </c>
      <c r="H7" s="13" t="inlineStr">
        <is>
          <t>ADQUISICION COMPRA TERRENO CESFAM COMUNA CABILDO</t>
        </is>
      </c>
      <c r="I7" s="13" t="inlineStr">
        <is>
          <t>I MUNICIPALIDAD DE CABILDO</t>
        </is>
      </c>
      <c r="J7" s="11" t="inlineStr">
        <is>
          <t>Región de Valparaíso</t>
        </is>
      </c>
      <c r="K7" s="11" t="inlineStr">
        <is>
          <t>LR</t>
        </is>
      </c>
      <c r="L7" s="11" t="inlineStr">
        <is>
          <t>no publicado</t>
        </is>
      </c>
      <c r="M7" s="11" t="n"/>
      <c r="N7" s="11" t="n">
        <v>28</v>
      </c>
      <c r="O7" s="11" t="inlineStr">
        <is>
          <t>2026-11-09 16:00</t>
        </is>
      </c>
      <c r="P7" s="11" t="inlineStr">
        <is>
          <t>3621-59-LR26</t>
        </is>
      </c>
      <c r="Q7" s="13" t="inlineStr">
        <is>
          <t>objeto/titulo: terreno (+9) | UNSPSC 80131600 (+40)</t>
        </is>
      </c>
      <c r="R7" s="13" t="inlineStr">
        <is>
          <t>exige/pondera experiencia acreditable o es licitacion mayor</t>
        </is>
      </c>
      <c r="S7" s="13" t="inlineStr">
        <is>
          <t>Adquisición de terreno para la construcción del nuevo CESFAM, comuna de Cabildo</t>
        </is>
      </c>
      <c r="T7" s="11" t="inlineStr">
        <is>
          <t>DAVID DONOSO ROJAS</t>
        </is>
      </c>
      <c r="U7" s="11" t="inlineStr"/>
      <c r="V7" s="14" t="inlineStr">
        <is>
          <t>Ver ficha</t>
        </is>
      </c>
    </row>
  </sheetData>
  <autoFilter ref="A1:V7"/>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8" customWidth="1" min="1" max="1"/>
    <col width="52" customWidth="1" min="2" max="2"/>
    <col width="18" customWidth="1" min="3" max="3"/>
    <col width="7" customWidth="1" min="4" max="4"/>
    <col width="18" customWidth="1" min="5" max="5"/>
    <col width="17" customWidth="1" min="6" max="6"/>
    <col width="12" customWidth="1" min="7" max="7"/>
    <col width="18" customWidth="1" min="8" max="8"/>
    <col width="18" customWidth="1" min="9" max="9"/>
    <col width="18" customWidth="1" min="10" max="10"/>
  </cols>
  <sheetData>
    <row r="1" ht="30" customHeight="1">
      <c r="A1" s="9" t="inlineStr">
        <is>
          <t>Codigo</t>
        </is>
      </c>
      <c r="B1" s="9" t="inlineStr">
        <is>
          <t>Nombre</t>
        </is>
      </c>
      <c r="C1" s="9" t="inlineStr">
        <is>
          <t>Entidad</t>
        </is>
      </c>
      <c r="D1" s="9" t="inlineStr">
        <is>
          <t>Score</t>
        </is>
      </c>
      <c r="E1" s="9" t="inlineStr">
        <is>
          <t>Estado</t>
        </is>
      </c>
      <c r="F1" s="9" t="inlineStr">
        <is>
          <t>Cierre</t>
        </is>
      </c>
      <c r="G1" s="9" t="inlineStr">
        <is>
          <t>Monto UF</t>
        </is>
      </c>
      <c r="H1" s="9" t="inlineStr">
        <is>
          <t>Primera vista</t>
        </is>
      </c>
      <c r="I1" s="9" t="inlineStr">
        <is>
          <t>Ultima vista</t>
        </is>
      </c>
      <c r="J1" s="9" t="inlineStr">
        <is>
          <t>Semanas en radar</t>
        </is>
      </c>
    </row>
    <row r="2">
      <c r="A2" s="11" t="inlineStr">
        <is>
          <t>2403-71-L126</t>
        </is>
      </c>
      <c r="B2" s="13" t="inlineStr">
        <is>
          <t>Servicio de tasación de bienes raíces municipales.</t>
        </is>
      </c>
      <c r="C2" s="11" t="inlineStr">
        <is>
          <t>Gamma</t>
        </is>
      </c>
      <c r="D2" s="11" t="n">
        <v>80</v>
      </c>
      <c r="E2" s="11" t="inlineStr">
        <is>
          <t>Publicada</t>
        </is>
      </c>
      <c r="F2" s="11" t="inlineStr">
        <is>
          <t>2026-10-02 15:30</t>
        </is>
      </c>
      <c r="G2" s="11" t="n"/>
      <c r="H2" s="11" t="inlineStr">
        <is>
          <t>2026-09-26</t>
        </is>
      </c>
      <c r="I2" s="11" t="inlineStr">
        <is>
          <t>2026-09-30</t>
        </is>
      </c>
      <c r="J2" s="11" t="n">
        <v>5</v>
      </c>
    </row>
    <row r="3">
      <c r="A3" s="11" t="inlineStr">
        <is>
          <t>3994-21-L126</t>
        </is>
      </c>
      <c r="B3" s="13" t="inlineStr">
        <is>
          <t>SERVICIO DE TASACION COMERCIAL DE INMUEBLE</t>
        </is>
      </c>
      <c r="C3" s="11" t="inlineStr">
        <is>
          <t>Realsa Brokers</t>
        </is>
      </c>
      <c r="D3" s="11" t="n">
        <v>78</v>
      </c>
      <c r="E3" s="11" t="inlineStr">
        <is>
          <t>Publicada</t>
        </is>
      </c>
      <c r="F3" s="11" t="inlineStr">
        <is>
          <t>2026-08-26 15:00</t>
        </is>
      </c>
      <c r="G3" s="11" t="n"/>
      <c r="H3" s="11" t="inlineStr">
        <is>
          <t>2026-08-25</t>
        </is>
      </c>
      <c r="I3" s="11" t="inlineStr">
        <is>
          <t>2026-08-25</t>
        </is>
      </c>
      <c r="J3" s="11" t="n">
        <v>10</v>
      </c>
    </row>
    <row r="4">
      <c r="A4" s="11" t="inlineStr">
        <is>
          <t>2760-98-LE26</t>
        </is>
      </c>
      <c r="B4" s="13" t="inlineStr">
        <is>
          <t>ARRIENDO DE INMUEBLE PARA BODEGA Y ARCHIVOS INMEDIATOS DE DISTINTAS DIRECCIONES MUNICIPALES</t>
        </is>
      </c>
      <c r="C4" s="11" t="inlineStr">
        <is>
          <t>Realsa Brokers</t>
        </is>
      </c>
      <c r="D4" s="11" t="n">
        <v>66</v>
      </c>
      <c r="E4" s="11" t="inlineStr">
        <is>
          <t>Publicada</t>
        </is>
      </c>
      <c r="F4" s="11" t="inlineStr">
        <is>
          <t>2026-08-26 15:00</t>
        </is>
      </c>
      <c r="G4" s="11" t="n"/>
      <c r="H4" s="11" t="inlineStr">
        <is>
          <t>2026-08-25</t>
        </is>
      </c>
      <c r="I4" s="11" t="inlineStr">
        <is>
          <t>2026-08-25</t>
        </is>
      </c>
      <c r="J4" s="11" t="n">
        <v>10</v>
      </c>
    </row>
    <row r="5">
      <c r="A5" s="11" t="inlineStr">
        <is>
          <t>1743-64-LE26</t>
        </is>
      </c>
      <c r="B5" s="13" t="inlineStr">
        <is>
          <t>SERVICIO DE ARRIENDO INMUEBLES PARA OFICINAS</t>
        </is>
      </c>
      <c r="C5" s="11" t="inlineStr">
        <is>
          <t>Realsa Brokers</t>
        </is>
      </c>
      <c r="D5" s="11" t="n">
        <v>66</v>
      </c>
      <c r="E5" s="11" t="inlineStr">
        <is>
          <t>Publicada</t>
        </is>
      </c>
      <c r="F5" s="11" t="inlineStr">
        <is>
          <t>2026-08-31 16:00</t>
        </is>
      </c>
      <c r="G5" s="11" t="n"/>
      <c r="H5" s="11" t="inlineStr">
        <is>
          <t>2026-08-25</t>
        </is>
      </c>
      <c r="I5" s="11" t="inlineStr">
        <is>
          <t>2026-08-29</t>
        </is>
      </c>
      <c r="J5" s="11" t="n">
        <v>10</v>
      </c>
    </row>
    <row r="6">
      <c r="A6" s="11" t="inlineStr">
        <is>
          <t>2495-16-CO26</t>
        </is>
      </c>
      <c r="B6" s="13" t="inlineStr">
        <is>
          <t>ARRIENDO DE INMUEBLE PARA OFICINA Y RESIDENCIA</t>
        </is>
      </c>
      <c r="C6" s="11" t="inlineStr">
        <is>
          <t>Realsa Brokers</t>
        </is>
      </c>
      <c r="D6" s="11" t="n">
        <v>66</v>
      </c>
      <c r="E6" s="11" t="inlineStr">
        <is>
          <t>Publicada</t>
        </is>
      </c>
      <c r="F6" s="11" t="inlineStr">
        <is>
          <t>2026-08-31 16:00</t>
        </is>
      </c>
      <c r="G6" s="11" t="n"/>
      <c r="H6" s="11" t="inlineStr">
        <is>
          <t>2026-08-25</t>
        </is>
      </c>
      <c r="I6" s="11" t="inlineStr">
        <is>
          <t>2026-08-29</t>
        </is>
      </c>
      <c r="J6" s="11" t="n">
        <v>10</v>
      </c>
    </row>
    <row r="7">
      <c r="A7" s="11" t="inlineStr">
        <is>
          <t>2359-13-LP26</t>
        </is>
      </c>
      <c r="B7" s="13" t="inlineStr">
        <is>
          <t>ARRIENDO DE INMUEBLES 2026-2028</t>
        </is>
      </c>
      <c r="C7" s="11" t="inlineStr">
        <is>
          <t>Gamma</t>
        </is>
      </c>
      <c r="D7" s="11" t="n">
        <v>66</v>
      </c>
      <c r="E7" s="11" t="inlineStr">
        <is>
          <t>Publicada</t>
        </is>
      </c>
      <c r="F7" s="11" t="inlineStr">
        <is>
          <t>2026-09-08 15:30</t>
        </is>
      </c>
      <c r="G7" s="11" t="n"/>
      <c r="H7" s="11" t="inlineStr">
        <is>
          <t>2026-08-25</t>
        </is>
      </c>
      <c r="I7" s="11" t="inlineStr">
        <is>
          <t>2026-09-06</t>
        </is>
      </c>
      <c r="J7" s="11" t="n">
        <v>10</v>
      </c>
    </row>
    <row r="8">
      <c r="A8" s="11" t="inlineStr">
        <is>
          <t>4142-10-LE26</t>
        </is>
      </c>
      <c r="B8" s="13" t="inlineStr">
        <is>
          <t>CONTRATACION ARRIENDO INMUEBLE</t>
        </is>
      </c>
      <c r="C8" s="11" t="inlineStr">
        <is>
          <t>Realsa Brokers</t>
        </is>
      </c>
      <c r="D8" s="11" t="n">
        <v>66</v>
      </c>
      <c r="E8" s="11" t="inlineStr">
        <is>
          <t>Publicada</t>
        </is>
      </c>
      <c r="F8" s="11" t="inlineStr">
        <is>
          <t>2026-10-30 12:00</t>
        </is>
      </c>
      <c r="G8" s="11" t="n"/>
      <c r="H8" s="11" t="inlineStr">
        <is>
          <t>2026-10-24</t>
        </is>
      </c>
      <c r="I8" s="11" t="inlineStr">
        <is>
          <t>2026-10-28</t>
        </is>
      </c>
      <c r="J8" s="11" t="n">
        <v>1</v>
      </c>
    </row>
    <row r="9">
      <c r="A9" s="11" t="inlineStr">
        <is>
          <t>2495-25-LE26</t>
        </is>
      </c>
      <c r="B9" s="13" t="inlineStr">
        <is>
          <t>CONTRATO ARRIENDO INMUEBLE RAYEN</t>
        </is>
      </c>
      <c r="C9" s="11" t="inlineStr">
        <is>
          <t>Realsa Brokers</t>
        </is>
      </c>
      <c r="D9" s="11" t="n">
        <v>66</v>
      </c>
      <c r="E9" s="11" t="inlineStr">
        <is>
          <t>Publicada</t>
        </is>
      </c>
      <c r="F9" s="11" t="inlineStr">
        <is>
          <t>2026-11-06 15:00</t>
        </is>
      </c>
      <c r="G9" s="11" t="n"/>
      <c r="H9" s="11" t="inlineStr">
        <is>
          <t>2026-10-28</t>
        </is>
      </c>
      <c r="I9" s="11" t="inlineStr">
        <is>
          <t>2026-10-28</t>
        </is>
      </c>
      <c r="J9" s="11" t="n">
        <v>1</v>
      </c>
    </row>
    <row r="10">
      <c r="A10" s="11" t="inlineStr">
        <is>
          <t>4022-22-LE26</t>
        </is>
      </c>
      <c r="B10" s="13" t="inlineStr">
        <is>
          <t>ARRIENDO INMUEBLE OFICINA COMUNAL DISCAPACIDAD.</t>
        </is>
      </c>
      <c r="C10" s="11" t="inlineStr">
        <is>
          <t>Realsa Brokers</t>
        </is>
      </c>
      <c r="D10" s="11" t="n">
        <v>66</v>
      </c>
      <c r="E10" s="11" t="inlineStr">
        <is>
          <t>Publicada</t>
        </is>
      </c>
      <c r="F10" s="11" t="inlineStr">
        <is>
          <t>2026-11-09 15:34</t>
        </is>
      </c>
      <c r="G10" s="11" t="n"/>
      <c r="H10" s="11" t="inlineStr">
        <is>
          <t>2026-10-28</t>
        </is>
      </c>
      <c r="I10" s="11" t="inlineStr">
        <is>
          <t>2026-10-28</t>
        </is>
      </c>
      <c r="J10" s="11" t="n">
        <v>1</v>
      </c>
    </row>
    <row r="11">
      <c r="A11" s="11" t="inlineStr">
        <is>
          <t>1080623-3-LE26</t>
        </is>
      </c>
      <c r="B11" s="13" t="inlineStr">
        <is>
          <t>CONTRATO DE ARRIENDO INMUEBLE PARA PAI-HCM</t>
        </is>
      </c>
      <c r="C11" s="11" t="inlineStr">
        <is>
          <t>Realsa Brokers</t>
        </is>
      </c>
      <c r="D11" s="11" t="n">
        <v>66</v>
      </c>
      <c r="E11" s="11" t="inlineStr">
        <is>
          <t>Publicada</t>
        </is>
      </c>
      <c r="F11" s="11" t="inlineStr">
        <is>
          <t>2026-11-12 20:00</t>
        </is>
      </c>
      <c r="G11" s="11" t="n"/>
      <c r="H11" s="11" t="inlineStr">
        <is>
          <t>2026-10-28</t>
        </is>
      </c>
      <c r="I11" s="11" t="inlineStr">
        <is>
          <t>2026-10-28</t>
        </is>
      </c>
      <c r="J11" s="11" t="n">
        <v>1</v>
      </c>
    </row>
    <row r="12">
      <c r="A12" s="11" t="inlineStr">
        <is>
          <t>2713-157-LP26</t>
        </is>
      </c>
      <c r="B12" s="13" t="inlineStr">
        <is>
          <t>Servicio de arriendo - Folio 852 - DIDECO</t>
        </is>
      </c>
      <c r="C12" s="11" t="inlineStr">
        <is>
          <t>Gamma</t>
        </is>
      </c>
      <c r="D12" s="11" t="n">
        <v>59</v>
      </c>
      <c r="E12" s="11" t="inlineStr">
        <is>
          <t>Publicada</t>
        </is>
      </c>
      <c r="F12" s="11" t="inlineStr">
        <is>
          <t>2026-09-02 09:30</t>
        </is>
      </c>
      <c r="G12" s="11" t="n">
        <v>3523</v>
      </c>
      <c r="H12" s="11" t="inlineStr">
        <is>
          <t>2026-08-25</t>
        </is>
      </c>
      <c r="I12" s="11" t="inlineStr">
        <is>
          <t>2026-08-29</t>
        </is>
      </c>
      <c r="J12" s="11" t="n">
        <v>10</v>
      </c>
    </row>
    <row r="13">
      <c r="A13" s="11" t="inlineStr">
        <is>
          <t>552578-38-L126</t>
        </is>
      </c>
      <c r="B13" s="13" t="inlineStr">
        <is>
          <t>CONCESIÓN DE LOCALES COMERCIALES PASEO SAN RAFAEL</t>
        </is>
      </c>
      <c r="C13" s="11" t="inlineStr">
        <is>
          <t>Realsa Brokers</t>
        </is>
      </c>
      <c r="D13" s="11" t="n">
        <v>56</v>
      </c>
      <c r="E13" s="11" t="inlineStr">
        <is>
          <t>Publicada</t>
        </is>
      </c>
      <c r="F13" s="11" t="inlineStr">
        <is>
          <t>2026-08-27 18:00</t>
        </is>
      </c>
      <c r="G13" s="11" t="n"/>
      <c r="H13" s="11" t="inlineStr">
        <is>
          <t>2026-08-25</t>
        </is>
      </c>
      <c r="I13" s="11" t="inlineStr">
        <is>
          <t>2026-08-25</t>
        </is>
      </c>
      <c r="J13" s="11" t="n">
        <v>10</v>
      </c>
    </row>
    <row r="14">
      <c r="A14" s="11" t="inlineStr">
        <is>
          <t>552578-51-L126</t>
        </is>
      </c>
      <c r="B14" s="13" t="inlineStr">
        <is>
          <t>CONCESIÓN DE LOCALES COMERCIALES PASEO SAN RAFAEL SEGUNDO LLAMADO</t>
        </is>
      </c>
      <c r="C14" s="11" t="inlineStr">
        <is>
          <t>Realsa Brokers</t>
        </is>
      </c>
      <c r="D14" s="11" t="n">
        <v>56</v>
      </c>
      <c r="E14" s="11" t="inlineStr">
        <is>
          <t>Publicada</t>
        </is>
      </c>
      <c r="F14" s="11" t="inlineStr">
        <is>
          <t>2026-10-30 18:00</t>
        </is>
      </c>
      <c r="G14" s="11" t="n"/>
      <c r="H14" s="11" t="inlineStr">
        <is>
          <t>2026-10-08</t>
        </is>
      </c>
      <c r="I14" s="11" t="inlineStr">
        <is>
          <t>2026-10-28</t>
        </is>
      </c>
      <c r="J14" s="11" t="n">
        <v>3</v>
      </c>
    </row>
    <row r="15">
      <c r="A15" s="11" t="inlineStr">
        <is>
          <t>4295-54-LR26</t>
        </is>
      </c>
      <c r="B15" s="13" t="inlineStr">
        <is>
          <t>VENTA DE TERRENOS DE PROPIEDAD MUNICIPAL LA SERENA</t>
        </is>
      </c>
      <c r="C15" s="11" t="inlineStr">
        <is>
          <t>Gamma</t>
        </is>
      </c>
      <c r="D15" s="11" t="n">
        <v>55</v>
      </c>
      <c r="E15" s="11" t="inlineStr">
        <is>
          <t>Publicada</t>
        </is>
      </c>
      <c r="F15" s="11" t="inlineStr">
        <is>
          <t>2026-10-14 15:00</t>
        </is>
      </c>
      <c r="G15" s="11" t="n"/>
      <c r="H15" s="11" t="inlineStr">
        <is>
          <t>2026-08-25</t>
        </is>
      </c>
      <c r="I15" s="11" t="inlineStr">
        <is>
          <t>2026-10-12</t>
        </is>
      </c>
      <c r="J15" s="11" t="n">
        <v>10</v>
      </c>
    </row>
    <row r="16">
      <c r="A16" s="11" t="inlineStr">
        <is>
          <t>5358-9-LR26</t>
        </is>
      </c>
      <c r="B16" s="13" t="inlineStr">
        <is>
          <t>ADQUISICIÓN DE TERRENO PARA PROYECTO EDUCACIONAL U</t>
        </is>
      </c>
      <c r="C16" s="11" t="inlineStr">
        <is>
          <t>Gamma</t>
        </is>
      </c>
      <c r="D16" s="11" t="n">
        <v>49</v>
      </c>
      <c r="E16" s="11" t="inlineStr">
        <is>
          <t>Publicada</t>
        </is>
      </c>
      <c r="F16" s="11" t="inlineStr">
        <is>
          <t>2026-10-16 15:01</t>
        </is>
      </c>
      <c r="G16" s="11" t="n">
        <v>122355</v>
      </c>
      <c r="H16" s="11" t="inlineStr">
        <is>
          <t>2026-08-25</t>
        </is>
      </c>
      <c r="I16" s="11" t="inlineStr">
        <is>
          <t>2026-10-12</t>
        </is>
      </c>
      <c r="J16" s="11" t="n">
        <v>10</v>
      </c>
    </row>
    <row r="17">
      <c r="A17" s="11" t="inlineStr">
        <is>
          <t>3621-59-LR26</t>
        </is>
      </c>
      <c r="B17" s="13" t="inlineStr">
        <is>
          <t>ADQUISICION COMPRA TERRENO CESFAM COMUNA CABILDO</t>
        </is>
      </c>
      <c r="C17" s="11" t="inlineStr">
        <is>
          <t>Gamma</t>
        </is>
      </c>
      <c r="D17" s="11" t="n">
        <v>49</v>
      </c>
      <c r="E17" s="11" t="inlineStr">
        <is>
          <t>Publicada</t>
        </is>
      </c>
      <c r="F17" s="11" t="inlineStr">
        <is>
          <t>2026-11-09 16:00</t>
        </is>
      </c>
      <c r="G17" s="11" t="n"/>
      <c r="H17" s="11" t="inlineStr">
        <is>
          <t>2026-10-12</t>
        </is>
      </c>
      <c r="I17" s="11" t="inlineStr">
        <is>
          <t>2026-10-28</t>
        </is>
      </c>
      <c r="J17" s="11" t="n">
        <v>3</v>
      </c>
    </row>
    <row r="18">
      <c r="A18" s="11" t="inlineStr">
        <is>
          <t>1063538-206-I226</t>
        </is>
      </c>
      <c r="B18" s="13" t="inlineStr">
        <is>
          <t>“ARRIENDO DE CELDAS DE MEDIA TENSION MT”</t>
        </is>
      </c>
      <c r="C18" s="11" t="inlineStr">
        <is>
          <t>Realsa Brokers</t>
        </is>
      </c>
      <c r="D18" s="11" t="n">
        <v>40</v>
      </c>
      <c r="E18" s="11" t="inlineStr">
        <is>
          <t>Publicada</t>
        </is>
      </c>
      <c r="F18" s="11" t="inlineStr">
        <is>
          <t>2026-09-28 17:00</t>
        </is>
      </c>
      <c r="G18" s="11" t="n"/>
      <c r="H18" s="11" t="inlineStr">
        <is>
          <t>2026-08-29</t>
        </is>
      </c>
      <c r="I18" s="11" t="inlineStr">
        <is>
          <t>2026-09-26</t>
        </is>
      </c>
      <c r="J18" s="11" t="n">
        <v>9</v>
      </c>
    </row>
    <row r="19">
      <c r="A19" s="11" t="inlineStr">
        <is>
          <t>867990-62-LE26</t>
        </is>
      </c>
      <c r="B19" s="13" t="inlineStr">
        <is>
          <t>CDP 91352 - CC 102 — TASACIÓN DE BIENES INMUEBLES</t>
        </is>
      </c>
      <c r="C19" s="11" t="inlineStr">
        <is>
          <t>Realsa Brokers</t>
        </is>
      </c>
      <c r="D19" s="11" t="n">
        <v>38</v>
      </c>
      <c r="E19" s="11" t="inlineStr">
        <is>
          <t>Publicada</t>
        </is>
      </c>
      <c r="F19" s="11" t="inlineStr">
        <is>
          <t>2026-08-31 15:00</t>
        </is>
      </c>
      <c r="G19" s="11" t="n">
        <v>1101</v>
      </c>
      <c r="H19" s="11" t="inlineStr">
        <is>
          <t>2026-08-25</t>
        </is>
      </c>
      <c r="I19" s="11" t="inlineStr">
        <is>
          <t>2026-08-29</t>
        </is>
      </c>
      <c r="J19" s="11" t="n">
        <v>10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34" customWidth="1" min="3" max="3"/>
    <col width="24" customWidth="1" min="4" max="4"/>
    <col width="6" customWidth="1" min="5" max="5"/>
    <col width="18" customWidth="1" min="6" max="6"/>
    <col width="12" customWidth="1" min="7" max="7"/>
    <col width="30" customWidth="1" min="8" max="8"/>
    <col width="17" customWidth="1" min="9" max="9"/>
    <col width="38" customWidth="1" min="10" max="10"/>
    <col width="18" customWidth="1" min="11" max="11"/>
    <col width="30" customWidth="1" min="12" max="12"/>
  </cols>
  <sheetData>
    <row r="1" ht="30" customHeight="1">
      <c r="A1" s="9" t="inlineStr">
        <is>
          <t>Score</t>
        </is>
      </c>
      <c r="B1" s="9" t="inlineStr">
        <is>
          <t>Nombre</t>
        </is>
      </c>
      <c r="C1" s="9" t="inlineStr">
        <is>
          <t>Organismo</t>
        </is>
      </c>
      <c r="D1" s="9" t="inlineStr">
        <is>
          <t>Region</t>
        </is>
      </c>
      <c r="E1" s="9" t="inlineStr">
        <is>
          <t>Tipo</t>
        </is>
      </c>
      <c r="F1" s="9" t="inlineStr">
        <is>
          <t>Monto publicado</t>
        </is>
      </c>
      <c r="G1" s="9" t="inlineStr">
        <is>
          <t>Monto UF</t>
        </is>
      </c>
      <c r="H1" s="9" t="inlineStr">
        <is>
          <t>Rango estimado por tipo</t>
        </is>
      </c>
      <c r="I1" s="9" t="inlineStr">
        <is>
          <t>Cierre</t>
        </is>
      </c>
      <c r="J1" s="9" t="inlineStr">
        <is>
          <t>Por que no entro</t>
        </is>
      </c>
      <c r="K1" s="9" t="inlineStr">
        <is>
          <t>Codigo</t>
        </is>
      </c>
      <c r="L1" s="9" t="inlineStr">
        <is>
          <t>URL</t>
        </is>
      </c>
    </row>
    <row r="2" ht="42" customHeight="1">
      <c r="A2" s="11" t="n">
        <v>38</v>
      </c>
      <c r="B2" s="13" t="inlineStr">
        <is>
          <t>Tasación de Inmuebles Rurales Región del Biobío</t>
        </is>
      </c>
      <c r="C2" s="13" t="inlineStr">
        <is>
          <t>CORP NACIONAL DE DESARROLLO INDIGENA</t>
        </is>
      </c>
      <c r="D2" s="11" t="inlineStr">
        <is>
          <t>Región del Biobío</t>
        </is>
      </c>
      <c r="E2" s="11" t="inlineStr">
        <is>
          <t>LE</t>
        </is>
      </c>
      <c r="F2" s="11" t="inlineStr">
        <is>
          <t>CLP 15,000,000</t>
        </is>
      </c>
      <c r="G2" s="11" t="n">
        <v>364</v>
      </c>
      <c r="H2" s="11" t="inlineStr">
        <is>
          <t>100-1.000 UTM (~UF 170-1.700)</t>
        </is>
      </c>
      <c r="I2" s="11" t="inlineStr">
        <is>
          <t>2026-11-06 12:00</t>
        </is>
      </c>
      <c r="J2" s="13" t="inlineStr">
        <is>
          <t>bajo umbral de monto (Nacional, UF 364 (umbral UF 2.000))</t>
        </is>
      </c>
      <c r="K2" s="11" t="inlineStr">
        <is>
          <t>806-20-LE26</t>
        </is>
      </c>
      <c r="L2" s="14" t="inlineStr">
        <is>
          <t>Ver ficha</t>
        </is>
      </c>
    </row>
    <row r="4">
      <c r="A4" s="22" t="inlineStr">
        <is>
          <t>Estas licitaciones SI calzan con el servicio, pero quedan fuera por monto o plazo. Ojo: Mercado Publico publica el valor del CONTRATO (honorario), no el valor del activo — una tasacion de un edificio grande puede aparecer como UF 73. Revisar antes de descartar.</t>
        </is>
      </c>
    </row>
  </sheetData>
  <hyperlinks>
    <hyperlink xmlns:r="http://schemas.openxmlformats.org/officeDocument/2006/relationships" ref="L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85"/>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46" customWidth="1" min="4" max="4"/>
  </cols>
  <sheetData>
    <row r="1" ht="30" customHeight="1">
      <c r="A1" s="9" t="inlineStr">
        <is>
          <t>Codigo</t>
        </is>
      </c>
      <c r="B1" s="9" t="inlineStr">
        <is>
          <t>Nombre</t>
        </is>
      </c>
      <c r="C1" s="9" t="inlineStr">
        <is>
          <t>Score</t>
        </is>
      </c>
      <c r="D1" s="9" t="inlineStr">
        <is>
          <t>Motivo del descarte</t>
        </is>
      </c>
    </row>
    <row r="2">
      <c r="A2" s="11" t="inlineStr">
        <is>
          <t>1002772-118-LP26</t>
        </is>
      </c>
      <c r="B2" s="13" t="inlineStr">
        <is>
          <t>SISTEMA DE DRENAJE CON EQUIPO EN COMODATO</t>
        </is>
      </c>
      <c r="C2" s="11" t="n">
        <v>0</v>
      </c>
      <c r="D2" s="13" t="inlineStr">
        <is>
          <t>score 0 &lt; 30</t>
        </is>
      </c>
    </row>
    <row r="3">
      <c r="A3" s="11" t="inlineStr">
        <is>
          <t>1002772-121-LE26</t>
        </is>
      </c>
      <c r="B3" s="13" t="inlineStr">
        <is>
          <t>Suministro de clipper y desvelladora en comodato</t>
        </is>
      </c>
      <c r="C3" s="11" t="n">
        <v>0</v>
      </c>
      <c r="D3" s="13" t="inlineStr">
        <is>
          <t>score 0 &lt; 30</t>
        </is>
      </c>
    </row>
    <row r="4">
      <c r="A4" s="11" t="inlineStr">
        <is>
          <t>1005498-27-LE26</t>
        </is>
      </c>
      <c r="B4" s="13" t="inlineStr">
        <is>
          <t>SERVICIO DE ARRIENDO DE BODEGAS</t>
        </is>
      </c>
      <c r="C4" s="11" t="n">
        <v>19</v>
      </c>
      <c r="D4" s="13" t="inlineStr">
        <is>
          <t>score 19 &lt; 30</t>
        </is>
      </c>
    </row>
    <row r="5">
      <c r="A5" s="11" t="inlineStr">
        <is>
          <t>1019-122-LE26</t>
        </is>
      </c>
      <c r="B5" s="13" t="inlineStr">
        <is>
          <t>SERVICIO DE ESTUDIO DE TÍTULOS DE DERECHOS</t>
        </is>
      </c>
      <c r="C5" s="11" t="n">
        <v>18</v>
      </c>
      <c r="D5" s="13" t="inlineStr">
        <is>
          <t>score 18 &lt; 30</t>
        </is>
      </c>
    </row>
    <row r="6">
      <c r="A6" s="11" t="inlineStr">
        <is>
          <t>1031859-2-LP26</t>
        </is>
      </c>
      <c r="B6" s="13" t="inlineStr">
        <is>
          <t>Arriendo de relojes control de asistencia</t>
        </is>
      </c>
      <c r="C6" s="11" t="n">
        <v>0</v>
      </c>
      <c r="D6" s="13" t="inlineStr">
        <is>
          <t>score 0 &lt; 30</t>
        </is>
      </c>
    </row>
    <row r="7">
      <c r="A7" s="11" t="inlineStr">
        <is>
          <t>1035206-13-LP26</t>
        </is>
      </c>
      <c r="B7" s="13" t="inlineStr">
        <is>
          <t>SERVICIO DE CONSERJERÍA Y MANTENCIÓN PARA SEDE SAN ANTONIO</t>
        </is>
      </c>
      <c r="C7" s="11" t="n">
        <v>8</v>
      </c>
      <c r="D7" s="13" t="inlineStr">
        <is>
          <t>solo mencion de inmueble, sin servicio inmobiliario</t>
        </is>
      </c>
    </row>
    <row r="8">
      <c r="A8" s="11" t="inlineStr">
        <is>
          <t>1039-14-LE26</t>
        </is>
      </c>
      <c r="B8" s="13" t="inlineStr">
        <is>
          <t>Servicios de Mantención y Reparación en Oficina RM</t>
        </is>
      </c>
      <c r="C8" s="11" t="n">
        <v>13</v>
      </c>
      <c r="D8" s="13" t="inlineStr">
        <is>
          <t>score 13 &lt; 30</t>
        </is>
      </c>
    </row>
    <row r="9">
      <c r="A9" s="11" t="inlineStr">
        <is>
          <t>1043-21-LE26</t>
        </is>
      </c>
      <c r="B9" s="13" t="inlineStr">
        <is>
          <t>ADQUISICIÓN DE BODEGA RESPEL LA ADMINISTRACIÓN DIRECTA - DIRECCIÓN REGIONAL DE AEROPUERTOS “CONSERVACIÓN MENOR RED AEROPORTUARIA REGIÓN DE AYSÉN.</t>
        </is>
      </c>
      <c r="C9" s="11" t="n">
        <v>7</v>
      </c>
      <c r="D9" s="13" t="inlineStr">
        <is>
          <t>solo mencion de inmueble, sin servicio inmobiliario</t>
        </is>
      </c>
    </row>
    <row r="10">
      <c r="A10" s="11" t="inlineStr">
        <is>
          <t>1051425-56-LE26</t>
        </is>
      </c>
      <c r="B10" s="13" t="inlineStr">
        <is>
          <t>SERV. ARRIENDO BAÑOS QUÍMICOS DRV ÑUBLE</t>
        </is>
      </c>
      <c r="C10" s="11" t="n">
        <v>0</v>
      </c>
      <c r="D10" s="13" t="inlineStr">
        <is>
          <t>score 0 &lt; 30</t>
        </is>
      </c>
    </row>
    <row r="11">
      <c r="A11" s="11" t="inlineStr">
        <is>
          <t>1051765-24-LE26</t>
        </is>
      </c>
      <c r="B11" s="13" t="inlineStr">
        <is>
          <t>Habilitación Sección Juvenil del CCP Chillán</t>
        </is>
      </c>
      <c r="C11" s="11" t="n">
        <v>0</v>
      </c>
      <c r="D11" s="13" t="inlineStr">
        <is>
          <t>score 0 &lt; 30</t>
        </is>
      </c>
    </row>
    <row r="12">
      <c r="A12" s="11" t="inlineStr">
        <is>
          <t>1057049-377-LR26</t>
        </is>
      </c>
      <c r="B12" s="13" t="inlineStr">
        <is>
          <t>JCD ADQ BAJADAS PARENTALES CON COMODATO DE EQUIPO</t>
        </is>
      </c>
      <c r="C12" s="11" t="n">
        <v>0</v>
      </c>
      <c r="D12" s="13" t="inlineStr">
        <is>
          <t>score 0 &lt; 30</t>
        </is>
      </c>
    </row>
    <row r="13">
      <c r="A13" s="11" t="inlineStr">
        <is>
          <t>1057049-394-LP26</t>
        </is>
      </c>
      <c r="B13" s="13" t="inlineStr">
        <is>
          <t>JLL CONTRATACION DE SERVICIOS DE TURNOS DE PERSONAL TECNICO INFORMATICO DE APOYO PARA EL DEPARTAMENTO DE TECNOLOGIAS DE LA INFORMACION Y COMUNICACIONES</t>
        </is>
      </c>
      <c r="C13" s="11" t="n">
        <v>11</v>
      </c>
      <c r="D13" s="13" t="inlineStr">
        <is>
          <t>score 11 &lt; 30</t>
        </is>
      </c>
    </row>
    <row r="14">
      <c r="A14" s="11" t="inlineStr">
        <is>
          <t>1057049-396-LR26</t>
        </is>
      </c>
      <c r="B14" s="13" t="inlineStr">
        <is>
          <t>MCO SERVICIO DE MANTENIMIENTO REPARACIÓN Y REMODELACIONES EN LAS DEPENDENCIAS DEL HOSPITAL CLÍNICO SAN BORJA ARRIARÁN Y SUS COMODATOS</t>
        </is>
      </c>
      <c r="C14" s="11" t="n">
        <v>16</v>
      </c>
      <c r="D14" s="13" t="inlineStr">
        <is>
          <t>score 16 &lt; 30</t>
        </is>
      </c>
    </row>
    <row r="15">
      <c r="A15" s="11" t="inlineStr">
        <is>
          <t>1057049-400-LP26</t>
        </is>
      </c>
      <c r="B15" s="13" t="inlineStr">
        <is>
          <t>CAPS ADQ. BOLSAS DE ASPIRACION CON COMODATO</t>
        </is>
      </c>
      <c r="C15" s="11" t="n">
        <v>0</v>
      </c>
      <c r="D15" s="13" t="inlineStr">
        <is>
          <t>score 0 &lt; 30</t>
        </is>
      </c>
    </row>
    <row r="16">
      <c r="A16" s="11" t="inlineStr">
        <is>
          <t>1057049-408-LE26</t>
        </is>
      </c>
      <c r="B16" s="13" t="inlineStr">
        <is>
          <t>CAPS BRAZALETES DE IDENTIFICACION CON COMODATO</t>
        </is>
      </c>
      <c r="C16" s="11" t="n">
        <v>0</v>
      </c>
      <c r="D16" s="13" t="inlineStr">
        <is>
          <t>score 0 &lt; 30</t>
        </is>
      </c>
    </row>
    <row r="17">
      <c r="A17" s="11" t="inlineStr">
        <is>
          <t>1057124-3-LP26</t>
        </is>
      </c>
      <c r="B17" s="13" t="inlineStr">
        <is>
          <t>SERVICIO DE HABILITACION DR Y CEVM SRCEI ÑUBLE</t>
        </is>
      </c>
      <c r="C17" s="11" t="n">
        <v>10</v>
      </c>
      <c r="D17" s="13" t="inlineStr">
        <is>
          <t>score 10 &lt; 30</t>
        </is>
      </c>
    </row>
    <row r="18">
      <c r="A18" s="11" t="inlineStr">
        <is>
          <t>1057389-57-LE26</t>
        </is>
      </c>
      <c r="B18" s="13" t="inlineStr">
        <is>
          <t>CASA DE ACOGIDA PROGRAMA MAPUCHE HOSPITAL VICTORIA</t>
        </is>
      </c>
      <c r="C18" s="11" t="n">
        <v>7</v>
      </c>
      <c r="D18" s="13" t="inlineStr">
        <is>
          <t>score 7 &lt; 30</t>
        </is>
      </c>
    </row>
    <row r="19">
      <c r="A19" s="11" t="inlineStr">
        <is>
          <t>1057417-34-LR26</t>
        </is>
      </c>
      <c r="B19" s="13" t="inlineStr">
        <is>
          <t>Convenio Suministro Reactivos para Examenes Hemoglobina Glicada con equipo en comodato</t>
        </is>
      </c>
      <c r="C19" s="11" t="n">
        <v>0</v>
      </c>
      <c r="D19" s="13" t="inlineStr">
        <is>
          <t>score 0 &lt; 30</t>
        </is>
      </c>
    </row>
    <row r="20">
      <c r="A20" s="11" t="inlineStr">
        <is>
          <t>1057429-105-LE26</t>
        </is>
      </c>
      <c r="B20" s="13" t="inlineStr">
        <is>
          <t>PROPOFOL REMIFENTANILO Y TIVA EN COMODATO</t>
        </is>
      </c>
      <c r="C20" s="11" t="n">
        <v>0</v>
      </c>
      <c r="D20" s="13" t="inlineStr">
        <is>
          <t>score 0 &lt; 30</t>
        </is>
      </c>
    </row>
    <row r="21">
      <c r="A21" s="11" t="inlineStr">
        <is>
          <t>1057430-74-LE26</t>
        </is>
      </c>
      <c r="B21" s="13" t="inlineStr">
        <is>
          <t>Convenio Uniformes SAMU y traslado</t>
        </is>
      </c>
      <c r="C21" s="11" t="n">
        <v>0</v>
      </c>
      <c r="D21" s="13" t="inlineStr">
        <is>
          <t>score 0 &lt; 30</t>
        </is>
      </c>
    </row>
    <row r="22">
      <c r="A22" s="11" t="inlineStr">
        <is>
          <t>1057439-116-LR26</t>
        </is>
      </c>
      <c r="B22" s="13" t="inlineStr">
        <is>
          <t>Kit Estudio de VPH Automatico con Equipo Comodato</t>
        </is>
      </c>
      <c r="C22" s="11" t="n">
        <v>0</v>
      </c>
      <c r="D22" s="13" t="inlineStr">
        <is>
          <t>score 0 &lt; 30</t>
        </is>
      </c>
    </row>
    <row r="23">
      <c r="A23" s="11" t="inlineStr">
        <is>
          <t>1057439-122-LE26</t>
        </is>
      </c>
      <c r="B23" s="13" t="inlineStr">
        <is>
          <t>ARRIENDO DE ESPACIOS PARA MAQUINAS DISPENSADORAS</t>
        </is>
      </c>
      <c r="C23" s="11" t="n">
        <v>16</v>
      </c>
      <c r="D23" s="13" t="inlineStr">
        <is>
          <t>score 16 &lt; 30</t>
        </is>
      </c>
    </row>
    <row r="24">
      <c r="A24" s="11" t="inlineStr">
        <is>
          <t>1057439-85-LR26</t>
        </is>
      </c>
      <c r="B24" s="13" t="inlineStr">
        <is>
          <t>Bolsas extracción de sangre y equipos en comodato</t>
        </is>
      </c>
      <c r="C24" s="11" t="n">
        <v>0</v>
      </c>
      <c r="D24" s="13" t="inlineStr">
        <is>
          <t>score 0 &lt; 30</t>
        </is>
      </c>
    </row>
    <row r="25">
      <c r="A25" s="11" t="inlineStr">
        <is>
          <t>1057439-89-LR26</t>
        </is>
      </c>
      <c r="B25" s="13" t="inlineStr">
        <is>
          <t>Kits de Descartables y Equipo de Circulación Extracorporea Comodato</t>
        </is>
      </c>
      <c r="C25" s="11" t="n">
        <v>0</v>
      </c>
      <c r="D25" s="13" t="inlineStr">
        <is>
          <t>score 0 &lt; 30</t>
        </is>
      </c>
    </row>
    <row r="26">
      <c r="A26" s="11" t="inlineStr">
        <is>
          <t>1057461-65-LE26</t>
        </is>
      </c>
      <c r="B26" s="13" t="inlineStr">
        <is>
          <t>CONVENIO DE SUMINISTRO DE PRODUCTOS DE HIGIENE CON DISPENSADORES EN COMODATO PARA HOSPITAL DE CAUQUENES</t>
        </is>
      </c>
      <c r="C26" s="11" t="n">
        <v>0</v>
      </c>
      <c r="D26" s="13" t="inlineStr">
        <is>
          <t>score 0 &lt; 30</t>
        </is>
      </c>
    </row>
    <row r="27">
      <c r="A27" s="11" t="inlineStr">
        <is>
          <t>1057472-121-LR26</t>
        </is>
      </c>
      <c r="B27" s="13" t="inlineStr">
        <is>
          <t>ARRIENDO EQUIPAMIENTO DE UNIDAD DE PACIENTE</t>
        </is>
      </c>
      <c r="C27" s="11" t="n">
        <v>0</v>
      </c>
      <c r="D27" s="13" t="inlineStr">
        <is>
          <t>score 0 &lt; 30</t>
        </is>
      </c>
    </row>
    <row r="28">
      <c r="A28" s="11" t="inlineStr">
        <is>
          <t>1057472-8-LP26</t>
        </is>
      </c>
      <c r="B28" s="13" t="inlineStr">
        <is>
          <t>ARRIENDO REENVASADORA DOSIS UNITARIA PARA FARMACIA</t>
        </is>
      </c>
      <c r="C28" s="11" t="n">
        <v>0</v>
      </c>
      <c r="D28" s="13" t="inlineStr">
        <is>
          <t>score 0 &lt; 30</t>
        </is>
      </c>
    </row>
    <row r="29">
      <c r="A29" s="11" t="inlineStr">
        <is>
          <t>1057476-48-LP26</t>
        </is>
      </c>
      <c r="B29" s="13" t="inlineStr">
        <is>
          <t>SERVICIO DE PROYECTO DE REMODELACIÓN DE NUEVAS DEPENDENCIAS DE LA UCMS</t>
        </is>
      </c>
      <c r="C29" s="11" t="n">
        <v>8</v>
      </c>
      <c r="D29" s="13" t="inlineStr">
        <is>
          <t>solo mencion de inmueble, sin servicio inmobiliario</t>
        </is>
      </c>
    </row>
    <row r="30">
      <c r="A30" s="11" t="inlineStr">
        <is>
          <t>1057480-66-LP26</t>
        </is>
      </c>
      <c r="B30" s="13" t="inlineStr">
        <is>
          <t>Adquisición de suministros de laboratorio y centrifuga de rutina programable en comodato para el Hospital San José de Melipilla</t>
        </is>
      </c>
      <c r="C30" s="11" t="n">
        <v>0</v>
      </c>
      <c r="D30" s="13" t="inlineStr">
        <is>
          <t>score 0 &lt; 30</t>
        </is>
      </c>
    </row>
    <row r="31">
      <c r="A31" s="11" t="inlineStr">
        <is>
          <t>1057489-305-LR26</t>
        </is>
      </c>
      <c r="B31" s="13" t="inlineStr">
        <is>
          <t>SERVICIO DE TRASLADO PACIENTES FONASA DEL HDS</t>
        </is>
      </c>
      <c r="C31" s="11" t="n">
        <v>10</v>
      </c>
      <c r="D31" s="13" t="inlineStr">
        <is>
          <t>score 10 &lt; 30</t>
        </is>
      </c>
    </row>
    <row r="32">
      <c r="A32" s="11" t="inlineStr">
        <is>
          <t>1057491-197-LP26</t>
        </is>
      </c>
      <c r="B32" s="13" t="inlineStr">
        <is>
          <t>SERVICIO DE EXÁMENES DE COAGULACIÓN COMODATO</t>
        </is>
      </c>
      <c r="C32" s="11" t="n">
        <v>0</v>
      </c>
      <c r="D32" s="13" t="inlineStr">
        <is>
          <t>score 0 &lt; 30</t>
        </is>
      </c>
    </row>
    <row r="33">
      <c r="A33" s="11" t="inlineStr">
        <is>
          <t>1057501-417-LR26</t>
        </is>
      </c>
      <c r="B33" s="13" t="inlineStr">
        <is>
          <t>CONVENIO VIDEOSCOPIOS CON COMODATO</t>
        </is>
      </c>
      <c r="C33" s="11" t="n">
        <v>0</v>
      </c>
      <c r="D33" s="13" t="inlineStr">
        <is>
          <t>score 0 &lt; 30</t>
        </is>
      </c>
    </row>
    <row r="34">
      <c r="A34" s="11" t="inlineStr">
        <is>
          <t>1057503-155-LP26</t>
        </is>
      </c>
      <c r="B34" s="13" t="inlineStr">
        <is>
          <t>Adquisición de Cartridge para Analizador de Sangre Portátil en Comodato por Sistema de Suministro para el Hospital Padre Alberto Hurtado</t>
        </is>
      </c>
      <c r="C34" s="11" t="n">
        <v>0</v>
      </c>
      <c r="D34" s="13" t="inlineStr">
        <is>
          <t>score 0 &lt; 30</t>
        </is>
      </c>
    </row>
    <row r="35">
      <c r="A35" s="11" t="inlineStr">
        <is>
          <t>1057503-158-LP26</t>
        </is>
      </c>
      <c r="B35" s="13" t="inlineStr">
        <is>
          <t>Servicio de Arriendo de 100 Concentradores de O2</t>
        </is>
      </c>
      <c r="C35" s="11" t="n">
        <v>0</v>
      </c>
      <c r="D35" s="13" t="inlineStr">
        <is>
          <t>score 0 &lt; 30</t>
        </is>
      </c>
    </row>
    <row r="36">
      <c r="A36" s="11" t="inlineStr">
        <is>
          <t>1057509-303-LR26</t>
        </is>
      </c>
      <c r="B36" s="13" t="inlineStr">
        <is>
          <t>CONVENIO PROVEEDURÍA DE AUDÍFONOS Y EQUIPAMIENTO ASOCIADO EN COMODATO fgh</t>
        </is>
      </c>
      <c r="C36" s="11" t="n">
        <v>0</v>
      </c>
      <c r="D36" s="13" t="inlineStr">
        <is>
          <t>score 0 &lt; 30</t>
        </is>
      </c>
    </row>
    <row r="37">
      <c r="A37" s="11" t="inlineStr">
        <is>
          <t>1057509-326-LP26</t>
        </is>
      </c>
      <c r="B37" s="13" t="inlineStr">
        <is>
          <t>CONVENIO SUMINISTRO DE RESINCRONIZADORES Y DESFIBRILADORES IMPLANTABLES AUTOMATICOS CON EQUIPOS EN COMODATO ASOCIADOS</t>
        </is>
      </c>
      <c r="C37" s="11" t="n">
        <v>0</v>
      </c>
      <c r="D37" s="13" t="inlineStr">
        <is>
          <t>score 0 &lt; 30</t>
        </is>
      </c>
    </row>
    <row r="38">
      <c r="A38" s="11" t="inlineStr">
        <is>
          <t>1057509-364-LE26</t>
        </is>
      </c>
      <c r="B38" s="13" t="inlineStr">
        <is>
          <t>CONVENIO COMPRA DE SERVICIOS PROFESIONALES DE KINESIÓLOGO PARA REHABILITACIÓN DE PACIENTES TRAUMATOLÓGICOS MAXILOFACIALES Y CON ENDOPRÓTESIS DE CADERA</t>
        </is>
      </c>
      <c r="C38" s="11" t="n">
        <v>0</v>
      </c>
      <c r="D38" s="13" t="inlineStr">
        <is>
          <t>score 0 &lt; 30</t>
        </is>
      </c>
    </row>
    <row r="39">
      <c r="A39" s="11" t="inlineStr">
        <is>
          <t>1057511-30-LE26</t>
        </is>
      </c>
      <c r="B39" s="13" t="inlineStr">
        <is>
          <t>CONVENIO DE PROVEEDURÍA DE SERVICIOS DE LABORATORIO DENTAL PARA REHABILITACIÓN ORAL IMPLANTOLOGÍA Y ORTODONCIA</t>
        </is>
      </c>
      <c r="C39" s="11" t="n">
        <v>0</v>
      </c>
      <c r="D39" s="13" t="inlineStr">
        <is>
          <t>score 0 &lt; 30</t>
        </is>
      </c>
    </row>
    <row r="40">
      <c r="A40" s="11" t="inlineStr">
        <is>
          <t>1057513-27-LE26</t>
        </is>
      </c>
      <c r="B40" s="13" t="inlineStr">
        <is>
          <t>Habilitación Sala Multiuso AIDIA</t>
        </is>
      </c>
      <c r="C40" s="11" t="n">
        <v>6</v>
      </c>
      <c r="D40" s="13" t="inlineStr">
        <is>
          <t>score 6 &lt; 30</t>
        </is>
      </c>
    </row>
    <row r="41">
      <c r="A41" s="11" t="inlineStr">
        <is>
          <t>1057543-65-LP26</t>
        </is>
      </c>
      <c r="B41" s="13" t="inlineStr">
        <is>
          <t>Arriendo de torre de laparoscopía</t>
        </is>
      </c>
      <c r="C41" s="11" t="n">
        <v>0</v>
      </c>
      <c r="D41" s="13" t="inlineStr">
        <is>
          <t>score 0 &lt; 30</t>
        </is>
      </c>
    </row>
    <row r="42">
      <c r="A42" s="11" t="inlineStr">
        <is>
          <t>1057547-451-LE26</t>
        </is>
      </c>
      <c r="B42" s="13" t="inlineStr">
        <is>
          <t>SERV. TELEREHABILITACIÓN ASISTIDA POR I. A.</t>
        </is>
      </c>
      <c r="C42" s="11" t="n">
        <v>0</v>
      </c>
      <c r="D42" s="13" t="inlineStr">
        <is>
          <t>score 0 &lt; 30</t>
        </is>
      </c>
    </row>
    <row r="43">
      <c r="A43" s="11" t="inlineStr">
        <is>
          <t>1057922-32-L126</t>
        </is>
      </c>
      <c r="B43" s="13" t="inlineStr">
        <is>
          <t>Adquisición de equipamiento infantil para habilitación CESFAM con SAR Rahue Alto</t>
        </is>
      </c>
      <c r="C43" s="11" t="n">
        <v>0</v>
      </c>
      <c r="D43" s="13" t="inlineStr">
        <is>
          <t>score 0 &lt; 30</t>
        </is>
      </c>
    </row>
    <row r="44">
      <c r="A44" s="11" t="inlineStr">
        <is>
          <t>1057931-20-LE26</t>
        </is>
      </c>
      <c r="B44" s="13" t="inlineStr">
        <is>
          <t>Ad equipos y equipamiento rehabilitacion C. Thno S</t>
        </is>
      </c>
      <c r="C44" s="11" t="n">
        <v>0</v>
      </c>
      <c r="D44" s="13" t="inlineStr">
        <is>
          <t>score 0 &lt; 30</t>
        </is>
      </c>
    </row>
    <row r="45">
      <c r="A45" s="11" t="inlineStr">
        <is>
          <t>1057962-11-LE26</t>
        </is>
      </c>
      <c r="B45" s="13" t="inlineStr">
        <is>
          <t>REGULARIZACIÓN Y CERTIFICACIÓN SELLO VERDE DE GAS DISTINTOS EDIFICIOS DE LA DSSC</t>
        </is>
      </c>
      <c r="C45" s="11" t="n">
        <v>8</v>
      </c>
      <c r="D45" s="13" t="inlineStr">
        <is>
          <t>solo mencion de inmueble, sin servicio inmobiliario</t>
        </is>
      </c>
    </row>
    <row r="46">
      <c r="A46" s="11" t="inlineStr">
        <is>
          <t>1057977-16-LP26</t>
        </is>
      </c>
      <c r="B46" s="13" t="inlineStr">
        <is>
          <t>Ampliacion RX dental box medicos y bodegas H.Futa</t>
        </is>
      </c>
      <c r="C46" s="11" t="n">
        <v>7</v>
      </c>
      <c r="D46" s="13" t="inlineStr">
        <is>
          <t>solo mencion de inmueble, sin servicio inmobiliario</t>
        </is>
      </c>
    </row>
    <row r="47">
      <c r="A47" s="11" t="inlineStr">
        <is>
          <t>1057979-16-LP26</t>
        </is>
      </c>
      <c r="B47" s="13" t="inlineStr">
        <is>
          <t>INTERVENCIONES MENORES OFICINA SALUD MENTAL SST</t>
        </is>
      </c>
      <c r="C47" s="11" t="n">
        <v>10</v>
      </c>
      <c r="D47" s="13" t="inlineStr">
        <is>
          <t>solo mencion de inmueble, sin servicio inmobiliario</t>
        </is>
      </c>
    </row>
    <row r="48">
      <c r="A48" s="11" t="inlineStr">
        <is>
          <t>1058086-66-LR26</t>
        </is>
      </c>
      <c r="B48" s="13" t="inlineStr">
        <is>
          <t>Adquisición de fresas con equipos comodato</t>
        </is>
      </c>
      <c r="C48" s="11" t="n">
        <v>0</v>
      </c>
      <c r="D48" s="13" t="inlineStr">
        <is>
          <t>score 0 &lt; 30</t>
        </is>
      </c>
    </row>
    <row r="49">
      <c r="A49" s="11" t="inlineStr">
        <is>
          <t>1058141-25-LR26</t>
        </is>
      </c>
      <c r="B49" s="13" t="inlineStr">
        <is>
          <t>Contrato de Suministro de Medios de Contraste Iodados con calentador en comodato para requerimientos del Hospital Carlos Van Buren</t>
        </is>
      </c>
      <c r="C49" s="11" t="n">
        <v>0</v>
      </c>
      <c r="D49" s="13" t="inlineStr">
        <is>
          <t>score 0 &lt; 30</t>
        </is>
      </c>
    </row>
    <row r="50">
      <c r="A50" s="11" t="inlineStr">
        <is>
          <t>1063538-220-LE26</t>
        </is>
      </c>
      <c r="B50" s="13" t="inlineStr">
        <is>
          <t>SERVICIO DE HABILITACION DE PUNTOS DE RED</t>
        </is>
      </c>
      <c r="C50" s="11" t="n">
        <v>10</v>
      </c>
      <c r="D50" s="13" t="inlineStr">
        <is>
          <t>score 10 &lt; 30</t>
        </is>
      </c>
    </row>
    <row r="51">
      <c r="A51" s="11" t="inlineStr">
        <is>
          <t>1063538-239-LE26</t>
        </is>
      </c>
      <c r="B51" s="13" t="inlineStr">
        <is>
          <t>ARRIENDO EQUIPO ANALISIS DE COAGULACION Y HEMOSTAS</t>
        </is>
      </c>
      <c r="C51" s="11" t="n">
        <v>0</v>
      </c>
      <c r="D51" s="13" t="inlineStr">
        <is>
          <t>score 0 &lt; 30</t>
        </is>
      </c>
    </row>
    <row r="52">
      <c r="A52" s="11" t="inlineStr">
        <is>
          <t>1075337-52-LP26</t>
        </is>
      </c>
      <c r="B52" s="13" t="inlineStr">
        <is>
          <t>SUM. AGUJAS DE BIOPSIA CON EQUIPO EN COMODATO</t>
        </is>
      </c>
      <c r="C52" s="11" t="n">
        <v>0</v>
      </c>
      <c r="D52" s="13" t="inlineStr">
        <is>
          <t>score 0 &lt; 30</t>
        </is>
      </c>
    </row>
    <row r="53">
      <c r="A53" s="11" t="inlineStr">
        <is>
          <t>1075963-424-LE26</t>
        </is>
      </c>
      <c r="B53" s="13" t="inlineStr">
        <is>
          <t>SERVICIO DE ARRIENDO CON OPCIÓN DE COMPRA DE EQUIPO RESECTOSCOPIO POR 12 MESES</t>
        </is>
      </c>
      <c r="C53" s="11" t="n">
        <v>0</v>
      </c>
      <c r="D53" s="13" t="inlineStr">
        <is>
          <t>score 0 &lt; 30</t>
        </is>
      </c>
    </row>
    <row r="54">
      <c r="A54" s="11" t="inlineStr">
        <is>
          <t>1079445-53-LE26</t>
        </is>
      </c>
      <c r="B54" s="13" t="inlineStr">
        <is>
          <t>ADQ. SERV. INST. ACCESOS Y REP. DEPENDENCIAS LABOC</t>
        </is>
      </c>
      <c r="C54" s="11" t="n">
        <v>8</v>
      </c>
      <c r="D54" s="13" t="inlineStr">
        <is>
          <t>solo mencion de inmueble, sin servicio inmobiliario</t>
        </is>
      </c>
    </row>
    <row r="55">
      <c r="A55" s="11" t="inlineStr">
        <is>
          <t>1079650-86-LE26</t>
        </is>
      </c>
      <c r="B55" s="13" t="inlineStr">
        <is>
          <t>SEGUNDO LLAMADO EQUIPOS REHABILITACION COLDAS UDEC - HTC</t>
        </is>
      </c>
      <c r="C55" s="11" t="n">
        <v>0</v>
      </c>
      <c r="D55" s="13" t="inlineStr">
        <is>
          <t>score 0 &lt; 30</t>
        </is>
      </c>
    </row>
    <row r="56">
      <c r="A56" s="11" t="inlineStr">
        <is>
          <t>1080093-10-LE26</t>
        </is>
      </c>
      <c r="B56" s="13" t="inlineStr">
        <is>
          <t>HABILITACIÓN BODEGA PRAIS MIRAFLORES</t>
        </is>
      </c>
      <c r="C56" s="11" t="n">
        <v>13</v>
      </c>
      <c r="D56" s="13" t="inlineStr">
        <is>
          <t>score 13 &lt; 30</t>
        </is>
      </c>
    </row>
    <row r="57">
      <c r="A57" s="11" t="inlineStr">
        <is>
          <t>1080094-19-LE26</t>
        </is>
      </c>
      <c r="B57" s="13" t="inlineStr">
        <is>
          <t>HABILITACION NUEVA SALA CENTRO REGULADOR SAMU</t>
        </is>
      </c>
      <c r="C57" s="11" t="n">
        <v>0</v>
      </c>
      <c r="D57" s="13" t="inlineStr">
        <is>
          <t>score 0 &lt; 30</t>
        </is>
      </c>
    </row>
    <row r="58">
      <c r="A58" s="11" t="inlineStr">
        <is>
          <t>1096-24-LE26</t>
        </is>
      </c>
      <c r="B58" s="13" t="inlineStr">
        <is>
          <t xml:space="preserve">ADQUISICIÓN DE MÓDULOS TIPO BODEGA </t>
        </is>
      </c>
      <c r="C58" s="11" t="n">
        <v>7</v>
      </c>
      <c r="D58" s="13" t="inlineStr">
        <is>
          <t>solo mencion de inmueble, sin servicio inmobiliario</t>
        </is>
      </c>
    </row>
    <row r="59">
      <c r="A59" s="11" t="inlineStr">
        <is>
          <t>1096-26-LE26</t>
        </is>
      </c>
      <c r="B59" s="13" t="inlineStr">
        <is>
          <t>ADQUISICIÓN DE BODEGA RESPEL PARA DAP CAD XII</t>
        </is>
      </c>
      <c r="C59" s="11" t="n">
        <v>7</v>
      </c>
      <c r="D59" s="13" t="inlineStr">
        <is>
          <t>solo mencion de inmueble, sin servicio inmobiliario</t>
        </is>
      </c>
    </row>
    <row r="60">
      <c r="A60" s="11" t="inlineStr">
        <is>
          <t>1110404-227-LR26</t>
        </is>
      </c>
      <c r="B60" s="13" t="inlineStr">
        <is>
          <t>ARRIENDO DE EQUIPOS DE IMPRESIÓN Y FOTOCOPIADO CON SERVICIOS ASOCIADOS PARA ESTABLECIMIENTOS EDUCACIONALES DEL SLEP CHINCHORRO SUBVENCIÓN SEP Y GENERAL</t>
        </is>
      </c>
      <c r="C60" s="11" t="n">
        <v>0</v>
      </c>
      <c r="D60" s="13" t="inlineStr">
        <is>
          <t>score 0 &lt; 30</t>
        </is>
      </c>
    </row>
    <row r="61">
      <c r="A61" s="11" t="inlineStr">
        <is>
          <t>1110404-250-L126</t>
        </is>
      </c>
      <c r="B61" s="13" t="inlineStr">
        <is>
          <t>CONTRATACIÓN DE SERVICIO DE ARRIENDO DE CENTRO DE CONVENCIONES PARA EL DESARROLLO DE UNA JORNADA DE TRABAJO INSTITUCIONAL DE LA COMUNIDAD EDUCATIVA DE LA ESCUELA REPUBLICA DE ISRAEL.</t>
        </is>
      </c>
      <c r="C61" s="11" t="n">
        <v>0</v>
      </c>
      <c r="D61" s="13" t="inlineStr">
        <is>
          <t>score 0 &lt; 30</t>
        </is>
      </c>
    </row>
    <row r="62">
      <c r="A62" s="11" t="inlineStr">
        <is>
          <t>1111432-79-L126</t>
        </is>
      </c>
      <c r="B62" s="13" t="inlineStr">
        <is>
          <t>ARRIENDO DE CENTRÍFUGA PARA LABORATORIO DEL CESFAM SAN FELIPE EL REAL CON TRANSFERENCIA DE DOMINIO AL TÉRMINO DEL CONTRATO</t>
        </is>
      </c>
      <c r="C62" s="11" t="n">
        <v>0</v>
      </c>
      <c r="D62" s="13" t="inlineStr">
        <is>
          <t>score 0 &lt; 30</t>
        </is>
      </c>
    </row>
    <row r="63">
      <c r="A63" s="11" t="inlineStr">
        <is>
          <t>1124-6-LE26</t>
        </is>
      </c>
      <c r="B63" s="13" t="inlineStr">
        <is>
          <t>MANT. MENOR DE BIENES D.R.CASAS AREAS Y OF. IV R</t>
        </is>
      </c>
      <c r="C63" s="11" t="n">
        <v>11</v>
      </c>
      <c r="D63" s="13" t="inlineStr">
        <is>
          <t>score 11 &lt; 30</t>
        </is>
      </c>
    </row>
    <row r="64">
      <c r="A64" s="11" t="inlineStr">
        <is>
          <t>1126922-43-LP26</t>
        </is>
      </c>
      <c r="B64" s="13" t="inlineStr">
        <is>
          <t>SUMINISTRO DE SERVICIOS DE CONTROL DE PLAGAS PARA ESTABLECIMIENTOS EDUCACIONALES JARDINES INFANTILES Y OFICINAS DEL SERVICIO LOCAL DE EDUCACIÓN PÚBLICA DE LLANQUIHUE</t>
        </is>
      </c>
      <c r="C64" s="11" t="n">
        <v>10</v>
      </c>
      <c r="D64" s="13" t="inlineStr">
        <is>
          <t>solo mencion de inmueble, sin servicio inmobiliario</t>
        </is>
      </c>
    </row>
    <row r="65">
      <c r="A65" s="11" t="inlineStr">
        <is>
          <t>1178-17-LE26</t>
        </is>
      </c>
      <c r="B65" s="13" t="inlineStr">
        <is>
          <t>ARRIENDO DE HORAS DEMARCADORA DE PAVIMENTOS</t>
        </is>
      </c>
      <c r="C65" s="11" t="n">
        <v>0</v>
      </c>
      <c r="D65" s="13" t="inlineStr">
        <is>
          <t>score 0 &lt; 30</t>
        </is>
      </c>
    </row>
    <row r="66">
      <c r="A66" s="11" t="inlineStr">
        <is>
          <t>1180730-54-LE26</t>
        </is>
      </c>
      <c r="B66" s="13" t="inlineStr">
        <is>
          <t>BOLSOS DE TERRENO ESPECIALIDAD CESFAM 18 II</t>
        </is>
      </c>
      <c r="C66" s="11" t="n">
        <v>9</v>
      </c>
      <c r="D66" s="13" t="inlineStr">
        <is>
          <t>solo mencion de inmueble, sin servicio inmobiliario</t>
        </is>
      </c>
    </row>
    <row r="67">
      <c r="A67" s="11" t="inlineStr">
        <is>
          <t>1180830-26-I226</t>
        </is>
      </c>
      <c r="B67" s="13" t="inlineStr">
        <is>
          <t>CONSTRUCCIÓN BODEGA FARMACIA CAN PPV 06-2026</t>
        </is>
      </c>
      <c r="C67" s="11" t="n">
        <v>7</v>
      </c>
      <c r="D67" s="13" t="inlineStr">
        <is>
          <t>solo mencion de inmueble, sin servicio inmobiliario</t>
        </is>
      </c>
    </row>
    <row r="68">
      <c r="A68" s="11" t="inlineStr">
        <is>
          <t>1191688-79-LE26</t>
        </is>
      </c>
      <c r="B68" s="13" t="inlineStr">
        <is>
          <t>Materiales para Sede Social Paula Jaraquemada</t>
        </is>
      </c>
      <c r="C68" s="11" t="n">
        <v>8</v>
      </c>
      <c r="D68" s="13" t="inlineStr">
        <is>
          <t>solo mencion de inmueble, sin servicio inmobiliario</t>
        </is>
      </c>
    </row>
    <row r="69">
      <c r="A69" s="11" t="inlineStr">
        <is>
          <t>1216062-33-LE26</t>
        </is>
      </c>
      <c r="B69" s="13" t="inlineStr">
        <is>
          <t>HABILITACIÓN DE OFICINAS-CONTROL ADQUISICIONES</t>
        </is>
      </c>
      <c r="C69" s="11" t="n">
        <v>16</v>
      </c>
      <c r="D69" s="13" t="inlineStr">
        <is>
          <t>score 16 &lt; 30</t>
        </is>
      </c>
    </row>
    <row r="70">
      <c r="A70" s="11" t="inlineStr">
        <is>
          <t>1221019-17-LE26</t>
        </is>
      </c>
      <c r="B70" s="13" t="inlineStr">
        <is>
          <t xml:space="preserve">Plataforma de Venta de Entradas para Evento. </t>
        </is>
      </c>
      <c r="C70" s="11" t="n">
        <v>0</v>
      </c>
      <c r="D70" s="13" t="inlineStr">
        <is>
          <t>score 0 &lt; 30</t>
        </is>
      </c>
    </row>
    <row r="71">
      <c r="A71" s="11" t="inlineStr">
        <is>
          <t>1224957-64-LE26</t>
        </is>
      </c>
      <c r="B71" s="13" t="inlineStr">
        <is>
          <t>Serv. de Auditoría e Inventario CMDS Ñuñoa</t>
        </is>
      </c>
      <c r="C71" s="11" t="n">
        <v>0</v>
      </c>
      <c r="D71" s="13" t="inlineStr">
        <is>
          <t>score 0 &lt; 30</t>
        </is>
      </c>
    </row>
    <row r="72">
      <c r="A72" s="11" t="inlineStr">
        <is>
          <t>1227-4-LP26</t>
        </is>
      </c>
      <c r="B72" s="13" t="inlineStr">
        <is>
          <t>SERV DE TRASLADO ESTIBA Y DESESTIBA DE MERCANCIAS</t>
        </is>
      </c>
      <c r="C72" s="11" t="n">
        <v>0</v>
      </c>
      <c r="D72" s="13" t="inlineStr">
        <is>
          <t>score 0 &lt; 30</t>
        </is>
      </c>
    </row>
    <row r="73">
      <c r="A73" s="11" t="inlineStr">
        <is>
          <t>1230744-12-L126</t>
        </is>
      </c>
      <c r="B73" s="13" t="inlineStr">
        <is>
          <t>SUMINISTRO DE SISTEMA DE VENTA DE ENTRADAS</t>
        </is>
      </c>
      <c r="C73" s="11" t="n">
        <v>8</v>
      </c>
      <c r="D73" s="13" t="inlineStr">
        <is>
          <t>score 8 &lt; 30</t>
        </is>
      </c>
    </row>
    <row r="74">
      <c r="A74" s="11" t="inlineStr">
        <is>
          <t>1242140-12-LE26</t>
        </is>
      </c>
      <c r="B74" s="13" t="inlineStr">
        <is>
          <t>Servicio de Courier Traslado de Sobres y Paquetería para el Hospital Provincial de Ovalle</t>
        </is>
      </c>
      <c r="C74" s="11" t="n">
        <v>0</v>
      </c>
      <c r="D74" s="13" t="inlineStr">
        <is>
          <t>score 0 &lt; 30</t>
        </is>
      </c>
    </row>
    <row r="75">
      <c r="A75" s="11" t="inlineStr">
        <is>
          <t>1298355-23-LE26</t>
        </is>
      </c>
      <c r="B75" s="13" t="inlineStr">
        <is>
          <t>MEJORAMIENTO DE OFICINA Y OTRAS OBRAS EXTERIORES</t>
        </is>
      </c>
      <c r="C75" s="11" t="n">
        <v>10</v>
      </c>
      <c r="D75" s="13" t="inlineStr">
        <is>
          <t>solo mencion de inmueble, sin servicio inmobiliario</t>
        </is>
      </c>
    </row>
    <row r="76">
      <c r="A76" s="11" t="inlineStr">
        <is>
          <t>1305532-17-LE26</t>
        </is>
      </c>
      <c r="B76" s="13" t="inlineStr">
        <is>
          <t>CONSERVACIÓN CASA JEAN PIAGET SLEP ELQUILA SERENA</t>
        </is>
      </c>
      <c r="C76" s="11" t="n">
        <v>8</v>
      </c>
      <c r="D76" s="13" t="inlineStr">
        <is>
          <t>score 8 &lt; 30</t>
        </is>
      </c>
    </row>
    <row r="77">
      <c r="A77" s="11" t="inlineStr">
        <is>
          <t>1306-2-LP26</t>
        </is>
      </c>
      <c r="B77" s="13" t="inlineStr">
        <is>
          <t>Servicio de obras menores para inmuebles ubicados en la Región de La Araucanía.</t>
        </is>
      </c>
      <c r="C77" s="11" t="n">
        <v>14</v>
      </c>
      <c r="D77" s="13" t="inlineStr">
        <is>
          <t>solo mencion de inmueble, sin servicio inmobiliario</t>
        </is>
      </c>
    </row>
    <row r="78">
      <c r="A78" s="11" t="inlineStr">
        <is>
          <t>1357605-18-LE26</t>
        </is>
      </c>
      <c r="B78" s="13" t="inlineStr">
        <is>
          <t>ARRIENDO INTEGRAL DE PRODUCCION PARA EVENTOS</t>
        </is>
      </c>
      <c r="C78" s="11" t="n">
        <v>0</v>
      </c>
      <c r="D78" s="13" t="inlineStr">
        <is>
          <t>score 0 &lt; 30</t>
        </is>
      </c>
    </row>
    <row r="79">
      <c r="A79" s="11" t="inlineStr">
        <is>
          <t>1380-207-LE26</t>
        </is>
      </c>
      <c r="B79" s="13" t="inlineStr">
        <is>
          <t>PPTA 341-26 CONT SERV ARRIENDO SWITCHES HHHA TROI</t>
        </is>
      </c>
      <c r="C79" s="11" t="n">
        <v>16</v>
      </c>
      <c r="D79" s="13" t="inlineStr">
        <is>
          <t>score 16 &lt; 30</t>
        </is>
      </c>
    </row>
    <row r="80">
      <c r="A80" s="11" t="inlineStr">
        <is>
          <t>1380-210-LE26</t>
        </is>
      </c>
      <c r="B80" s="13" t="inlineStr">
        <is>
          <t>PPTA 318-26 “CONTRATACIÓN SERVICIO DE ARRIENDO DE EQUIPOS PARA TERAPIA DE REEMPLAZO RENAL AGUDO PARA EL HOSPITAL DR. HERNÁN HENRÍQUEZ ARAVENA”</t>
        </is>
      </c>
      <c r="C80" s="11" t="n">
        <v>0</v>
      </c>
      <c r="D80" s="13" t="inlineStr">
        <is>
          <t>score 0 &lt; 30</t>
        </is>
      </c>
    </row>
    <row r="81">
      <c r="A81" s="11" t="inlineStr">
        <is>
          <t>1389585-16-LE26</t>
        </is>
      </c>
      <c r="B81" s="13" t="inlineStr">
        <is>
          <t xml:space="preserve"> Agua purificada y arriendo de dispensadores Salud</t>
        </is>
      </c>
      <c r="C81" s="11" t="n">
        <v>0</v>
      </c>
      <c r="D81" s="13" t="inlineStr">
        <is>
          <t>score 0 &lt; 30</t>
        </is>
      </c>
    </row>
    <row r="82">
      <c r="A82" s="11" t="inlineStr">
        <is>
          <t>1417913-128-LR26</t>
        </is>
      </c>
      <c r="B82" s="13" t="inlineStr">
        <is>
          <t>SERVICIO DE TRASLADO DE FUNCIONARIOS DE CORMUDESI POR 24 MESES</t>
        </is>
      </c>
      <c r="C82" s="11" t="n">
        <v>8</v>
      </c>
      <c r="D82" s="13" t="inlineStr">
        <is>
          <t>score 8 &lt; 30</t>
        </is>
      </c>
    </row>
    <row r="83">
      <c r="A83" s="11" t="inlineStr">
        <is>
          <t>1417913-148-LE26</t>
        </is>
      </c>
      <c r="B83" s="13" t="inlineStr">
        <is>
          <t>Servicios sanitarios de apoyo operativo fosas sépticas estanques de agua y servicios afines para dependencias de Cormudesi por 24 meses</t>
        </is>
      </c>
      <c r="C83" s="11" t="n">
        <v>8</v>
      </c>
      <c r="D83" s="13" t="inlineStr">
        <is>
          <t>solo mencion de inmueble, sin servicio inmobiliario</t>
        </is>
      </c>
    </row>
    <row r="84">
      <c r="A84" s="11" t="inlineStr">
        <is>
          <t>1422039-31-LE26</t>
        </is>
      </c>
      <c r="B84" s="13" t="inlineStr">
        <is>
          <t>ARRIENDO SERVICIOS HIGIÉNICOS IV CORRIDA GANA STGO</t>
        </is>
      </c>
      <c r="C84" s="11" t="n">
        <v>0</v>
      </c>
      <c r="D84" s="13" t="inlineStr">
        <is>
          <t>score 0 &lt; 30</t>
        </is>
      </c>
    </row>
    <row r="85">
      <c r="A85" s="11" t="inlineStr">
        <is>
          <t>1422825-30-LP26</t>
        </is>
      </c>
      <c r="B85" s="13" t="inlineStr">
        <is>
          <t>CONTRATO DE ARRENDAMIENTO DE SISTEMA DE CONTROL DE IDENTIFICACIÓN Y ASISTENCIA BIOMÉTRICO PARA EL HOSPITAL CARLOS VAN BUREN</t>
        </is>
      </c>
      <c r="C85" s="11" t="n">
        <v>0</v>
      </c>
      <c r="D85" s="13" t="inlineStr">
        <is>
          <t>score 0 &lt; 30</t>
        </is>
      </c>
    </row>
    <row r="86">
      <c r="A86" s="11" t="inlineStr">
        <is>
          <t>1434-30-LE26</t>
        </is>
      </c>
      <c r="B86" s="13" t="inlineStr">
        <is>
          <t>HABILITACIÓN DE PISCINA CCRR LOS AROMOS TALCAHUANO</t>
        </is>
      </c>
      <c r="C86" s="11" t="n">
        <v>8</v>
      </c>
      <c r="D86" s="13" t="inlineStr">
        <is>
          <t>score 8 &lt; 30</t>
        </is>
      </c>
    </row>
    <row r="87">
      <c r="A87" s="11" t="inlineStr">
        <is>
          <t>1448821-20-LP26</t>
        </is>
      </c>
      <c r="B87" s="13" t="inlineStr">
        <is>
          <t>Construcción Cubierta Recinto Productivo Pueblito</t>
        </is>
      </c>
      <c r="C87" s="11" t="n">
        <v>5</v>
      </c>
      <c r="D87" s="13" t="inlineStr">
        <is>
          <t>solo mencion de inmueble, sin servicio inmobiliario</t>
        </is>
      </c>
    </row>
    <row r="88">
      <c r="A88" s="11" t="inlineStr">
        <is>
          <t>1456837-4-LR26</t>
        </is>
      </c>
      <c r="B88" s="13" t="inlineStr">
        <is>
          <t>SUMINISTRO DE MATERIALES DE OFICINA A TRAVÉS DE PLATAFORMA CLOUDE-COMMERCE</t>
        </is>
      </c>
      <c r="C88" s="11" t="n">
        <v>10</v>
      </c>
      <c r="D88" s="13" t="inlineStr">
        <is>
          <t>solo mencion de inmueble, sin servicio inmobiliario</t>
        </is>
      </c>
    </row>
    <row r="89">
      <c r="A89" s="11" t="inlineStr">
        <is>
          <t>1469-307-L126</t>
        </is>
      </c>
      <c r="B89" s="13" t="inlineStr">
        <is>
          <t>20-44502 "Servicio de arriendo, transporte especializado y afinación de 1 piano de cola"</t>
        </is>
      </c>
      <c r="C89" s="11" t="n">
        <v>0</v>
      </c>
      <c r="D89" s="13" t="inlineStr">
        <is>
          <t>score 0 &lt; 30</t>
        </is>
      </c>
    </row>
    <row r="90">
      <c r="A90" s="11" t="inlineStr">
        <is>
          <t>1469-315-L126</t>
        </is>
      </c>
      <c r="B90" s="13" t="inlineStr">
        <is>
          <t>PROVISIÓN, REPARACION E INSTALACIÓN DE CORTINAS DE SALAS Y OTRAS DEPENDENCIAS DEL CAMPUS CURICÓ, UNIVERSIDAD DE TALCA</t>
        </is>
      </c>
      <c r="C90" s="11" t="n">
        <v>8</v>
      </c>
      <c r="D90" s="13" t="inlineStr">
        <is>
          <t>solo mencion de inmueble, sin servicio inmobiliario</t>
        </is>
      </c>
    </row>
    <row r="91">
      <c r="A91" s="11" t="inlineStr">
        <is>
          <t>1469-317-L126</t>
        </is>
      </c>
      <c r="B91" s="13" t="inlineStr">
        <is>
          <t>“SERVICIO PROVISIÓN E INSTALACIÓN ARRANQUE ELECTRICO Y EQUIPOS DE CLIMATIZACIÓN PARA OFICINAS FCJyS DE LA UNIVERSIDAD DE TALCA”</t>
        </is>
      </c>
      <c r="C91" s="11" t="n">
        <v>10</v>
      </c>
      <c r="D91" s="13" t="inlineStr">
        <is>
          <t>solo mencion de inmueble, sin servicio inmobiliario</t>
        </is>
      </c>
    </row>
    <row r="92">
      <c r="A92" s="11" t="inlineStr">
        <is>
          <t>1488587-47-LP26</t>
        </is>
      </c>
      <c r="B92" s="13" t="inlineStr">
        <is>
          <t>Habilitación Dependencias de Docencia - M3 - CIB</t>
        </is>
      </c>
      <c r="C92" s="11" t="n">
        <v>14</v>
      </c>
      <c r="D92" s="13" t="inlineStr">
        <is>
          <t>score 14 &lt; 30</t>
        </is>
      </c>
    </row>
    <row r="93">
      <c r="A93" s="11" t="inlineStr">
        <is>
          <t>1490609-2-LE26</t>
        </is>
      </c>
      <c r="B93" s="13" t="inlineStr">
        <is>
          <t>EJECUCIÓN DE OBRAS MENORES PARA LA PROVISIÓN E INSTALACIÓN DE VENTANAS DE TERMOPANEL EN INFRAESTRUCTURA DEL PARQUE NACIONAL CONGUILLÍO DIRECCIÓN REGIONAL DE LA ARAUCANÍA DEL SERVICIO DE BIODIVERSIDAD Y ÁREAS PROTEGIDAS</t>
        </is>
      </c>
      <c r="C93" s="11" t="n">
        <v>10</v>
      </c>
      <c r="D93" s="13" t="inlineStr">
        <is>
          <t>score 10 &lt; 30</t>
        </is>
      </c>
    </row>
    <row r="94">
      <c r="A94" s="11" t="inlineStr">
        <is>
          <t>1499-199-LP26</t>
        </is>
      </c>
      <c r="B94" s="13" t="inlineStr">
        <is>
          <t>DGM DETERMINACIONES DE EXÁMENES DE INMUNOLOGÍA EQUIPAMIENTO EN COMODATO</t>
        </is>
      </c>
      <c r="C94" s="11" t="n">
        <v>0</v>
      </c>
      <c r="D94" s="13" t="inlineStr">
        <is>
          <t>score 0 &lt; 30</t>
        </is>
      </c>
    </row>
    <row r="95">
      <c r="A95" s="11" t="inlineStr">
        <is>
          <t>1501729-14-LE26</t>
        </is>
      </c>
      <c r="B95" s="13" t="inlineStr">
        <is>
          <t>HABILITACIÓN DE OFICINAS ALCALDÍA</t>
        </is>
      </c>
      <c r="C95" s="11" t="n">
        <v>16</v>
      </c>
      <c r="D95" s="13" t="inlineStr">
        <is>
          <t>score 16 &lt; 30</t>
        </is>
      </c>
    </row>
    <row r="96">
      <c r="A96" s="11" t="inlineStr">
        <is>
          <t>1515304-214-LE26</t>
        </is>
      </c>
      <c r="B96" s="13" t="inlineStr">
        <is>
          <t>SERV.REPARACION DEPENDENCIAS DE LA PREFEC. AEREA</t>
        </is>
      </c>
      <c r="C96" s="11" t="n">
        <v>8</v>
      </c>
      <c r="D96" s="13" t="inlineStr">
        <is>
          <t>solo mencion de inmueble, sin servicio inmobiliario</t>
        </is>
      </c>
    </row>
    <row r="97">
      <c r="A97" s="11" t="inlineStr">
        <is>
          <t>1548962-1-LP26</t>
        </is>
      </c>
      <c r="B97" s="13" t="inlineStr">
        <is>
          <t>DEINFRA - HABILITACIÓN MODULARES CECAPRO 2027</t>
        </is>
      </c>
      <c r="C97" s="11" t="n">
        <v>10</v>
      </c>
      <c r="D97" s="13" t="inlineStr">
        <is>
          <t>score 10 &lt; 30</t>
        </is>
      </c>
    </row>
    <row r="98">
      <c r="A98" s="11" t="inlineStr">
        <is>
          <t>1549-104-LE26</t>
        </is>
      </c>
      <c r="B98" s="13" t="inlineStr">
        <is>
          <t>ARRIENDO DE REENVASADORA DE MEDICAMENTOS</t>
        </is>
      </c>
      <c r="C98" s="11" t="n">
        <v>0</v>
      </c>
      <c r="D98" s="13" t="inlineStr">
        <is>
          <t>score 0 &lt; 30</t>
        </is>
      </c>
    </row>
    <row r="99">
      <c r="A99" s="11" t="inlineStr">
        <is>
          <t>1549-97-LP26</t>
        </is>
      </c>
      <c r="B99" s="13" t="inlineStr">
        <is>
          <t>ARRIENDO EQUIPO POLISOMNOGRAFIA UNIDAD NEUROLOGIA</t>
        </is>
      </c>
      <c r="C99" s="11" t="n">
        <v>0</v>
      </c>
      <c r="D99" s="13" t="inlineStr">
        <is>
          <t>score 0 &lt; 30</t>
        </is>
      </c>
    </row>
    <row r="100">
      <c r="A100" s="11" t="inlineStr">
        <is>
          <t>1562-82-L126</t>
        </is>
      </c>
      <c r="B100" s="13" t="inlineStr">
        <is>
          <t>REPARACIÓN Y MANTENCIÓN TECHUMBRE SEDE SANTA MARIA N°0104</t>
        </is>
      </c>
      <c r="C100" s="11" t="n">
        <v>8</v>
      </c>
      <c r="D100" s="13" t="inlineStr">
        <is>
          <t>solo mencion de inmueble, sin servicio inmobiliario</t>
        </is>
      </c>
    </row>
    <row r="101">
      <c r="A101" s="11" t="inlineStr">
        <is>
          <t>1574-38-LP26</t>
        </is>
      </c>
      <c r="B101" s="13" t="inlineStr">
        <is>
          <t>SCHEE - CONTRATO SUMINISTRO MANTENCION J.I. Y OFICINAS PROVINCIA DE LIMARI</t>
        </is>
      </c>
      <c r="C101" s="11" t="n">
        <v>10</v>
      </c>
      <c r="D101" s="13" t="inlineStr">
        <is>
          <t>solo mencion de inmueble, sin servicio inmobiliario</t>
        </is>
      </c>
    </row>
    <row r="102">
      <c r="A102" s="11" t="inlineStr">
        <is>
          <t>1621-25-L126</t>
        </is>
      </c>
      <c r="B102" s="13" t="inlineStr">
        <is>
          <t>SERVICIO DE TRASLADO PARA FUNCIONARIOS QUE REALIZAN VISITAS DOMICILIARIAS</t>
        </is>
      </c>
      <c r="C102" s="11" t="n">
        <v>0</v>
      </c>
      <c r="D102" s="13" t="inlineStr">
        <is>
          <t>score 0 &lt; 30</t>
        </is>
      </c>
    </row>
    <row r="103">
      <c r="A103" s="11" t="inlineStr">
        <is>
          <t>1638-97-LE26</t>
        </is>
      </c>
      <c r="B103" s="13" t="inlineStr">
        <is>
          <t>MEJORAMIENTO EDIFICIO CONSISTORIAL REPOSICION CUBIERTA CONSISTORIAL SM 7155</t>
        </is>
      </c>
      <c r="C103" s="11" t="n">
        <v>8</v>
      </c>
      <c r="D103" s="13" t="inlineStr">
        <is>
          <t>solo mencion de inmueble, sin servicio inmobiliario</t>
        </is>
      </c>
    </row>
    <row r="104">
      <c r="A104" s="11" t="inlineStr">
        <is>
          <t>1657-20-LP26</t>
        </is>
      </c>
      <c r="B104" s="13" t="inlineStr">
        <is>
          <t>SERVICIO DE DISEÑO CONFECCIÓN RESTAURACION YO REPARACIÓN DE INFRAESTRUCTURA EN OFICINA CENTRAL Y OFICINAS COMUNALES DE LA PROVINCIA DE ELQUI LIMARI Y CHOAPA DE LA SEREMI DE SALUD REGION DE COQUIMBO</t>
        </is>
      </c>
      <c r="C104" s="11" t="n">
        <v>10</v>
      </c>
      <c r="D104" s="13" t="inlineStr">
        <is>
          <t>solo mencion de inmueble, sin servicio inmobiliario</t>
        </is>
      </c>
    </row>
    <row r="105">
      <c r="A105" s="11" t="inlineStr">
        <is>
          <t>1657-22-LP26</t>
        </is>
      </c>
      <c r="B105" s="13" t="inlineStr">
        <is>
          <t>SERVICIO DE MANTENCION REPARACION Y REPOSICION DEL SISTEMA ELECTRICO ELECTRÓNICO Y DIGITAL DE LA OFICINA CENTRAL Y OFICINAS COMUNALES DE LA PROVINCIA DE ELQUI LIMARI Y CHOAPA DE LA SEREMI DE SALUD REGION DE COQUIMBO</t>
        </is>
      </c>
      <c r="C105" s="11" t="n">
        <v>10</v>
      </c>
      <c r="D105" s="13" t="inlineStr">
        <is>
          <t>solo mencion de inmueble, sin servicio inmobiliario</t>
        </is>
      </c>
    </row>
    <row r="106">
      <c r="A106" s="11" t="inlineStr">
        <is>
          <t>1658-224-LR26</t>
        </is>
      </c>
      <c r="B106" s="13" t="inlineStr">
        <is>
          <t>P.271-2026 CONTRATACIÓN PERSONAL DE APOYO PARA DEPARTAMENTOS DE LA DIRECCIÓN DE OPERACIONES – TEMUCO</t>
        </is>
      </c>
      <c r="C106" s="11" t="n">
        <v>5</v>
      </c>
      <c r="D106" s="13" t="inlineStr">
        <is>
          <t>solo mencion de inmueble, sin servicio inmobiliario</t>
        </is>
      </c>
    </row>
    <row r="107">
      <c r="A107" s="11" t="inlineStr">
        <is>
          <t>1658-226-LP26</t>
        </is>
      </c>
      <c r="B107" s="13" t="inlineStr">
        <is>
          <t>P. 272-2026 ADQUISICIÓN DE MOTORES PARA USO ODONTOLÓGICO PARA ESTABLECIMIENTOS DEPENDIENTES DEL DEPARTAMENTO DE SALUD DE LA MUNICIPALIDAD DE TEMUCO</t>
        </is>
      </c>
      <c r="C107" s="11" t="n">
        <v>5</v>
      </c>
      <c r="D107" s="13" t="inlineStr">
        <is>
          <t>solo mencion de inmueble, sin servicio inmobiliario</t>
        </is>
      </c>
    </row>
    <row r="108">
      <c r="A108" s="11" t="inlineStr">
        <is>
          <t>1664-27-L126</t>
        </is>
      </c>
      <c r="B108" s="13" t="inlineStr">
        <is>
          <t>ARRIENDO DE SILLON DENTAL PARA EL HOSPITAL DE FRESIA</t>
        </is>
      </c>
      <c r="C108" s="11" t="n">
        <v>0</v>
      </c>
      <c r="D108" s="13" t="inlineStr">
        <is>
          <t>score 0 &lt; 30</t>
        </is>
      </c>
    </row>
    <row r="109">
      <c r="A109" s="11" t="inlineStr">
        <is>
          <t>1667-35-LP26</t>
        </is>
      </c>
      <c r="B109" s="13" t="inlineStr">
        <is>
          <t>ARRIENDO EQUIPO DE ASPIRACION ULTRASÓNICA PARA NC</t>
        </is>
      </c>
      <c r="C109" s="11" t="n">
        <v>0</v>
      </c>
      <c r="D109" s="13" t="inlineStr">
        <is>
          <t>score 0 &lt; 30</t>
        </is>
      </c>
    </row>
    <row r="110">
      <c r="A110" s="11" t="inlineStr">
        <is>
          <t>1774-18-LP26</t>
        </is>
      </c>
      <c r="B110" s="13" t="inlineStr">
        <is>
          <t>Servicios traslado funcionarios y mercancías DRAA</t>
        </is>
      </c>
      <c r="C110" s="11" t="n">
        <v>0</v>
      </c>
      <c r="D110" s="13" t="inlineStr">
        <is>
          <t>score 0 &lt; 30</t>
        </is>
      </c>
    </row>
    <row r="111">
      <c r="A111" s="11" t="inlineStr">
        <is>
          <t>1867-50-LE26</t>
        </is>
      </c>
      <c r="B111" s="13" t="inlineStr">
        <is>
          <t>Desarrollar Plataformas en Línea para Departamento</t>
        </is>
      </c>
      <c r="C111" s="11" t="n">
        <v>5</v>
      </c>
      <c r="D111" s="13" t="inlineStr">
        <is>
          <t>solo mencion de inmueble, sin servicio inmobiliario</t>
        </is>
      </c>
    </row>
    <row r="112">
      <c r="A112" s="11" t="inlineStr">
        <is>
          <t>188-102-LE26</t>
        </is>
      </c>
      <c r="B112" s="13" t="inlineStr">
        <is>
          <t>PROYECTO MEJORAMIENTO Y HABILITACIÓN PATIO LATERAL</t>
        </is>
      </c>
      <c r="C112" s="11" t="n">
        <v>0</v>
      </c>
      <c r="D112" s="13" t="inlineStr">
        <is>
          <t>score 0 &lt; 30</t>
        </is>
      </c>
    </row>
    <row r="113">
      <c r="A113" s="11" t="inlineStr">
        <is>
          <t>1895-36-LP26</t>
        </is>
      </c>
      <c r="B113" s="13" t="inlineStr">
        <is>
          <t>Sol 44 Servicio Arriendo Desbrozador para los Caminos de las Comunas de Chonchi Dalcahue y Ancud</t>
        </is>
      </c>
      <c r="C113" s="11" t="n">
        <v>0</v>
      </c>
      <c r="D113" s="13" t="inlineStr">
        <is>
          <t>score 0 &lt; 30</t>
        </is>
      </c>
    </row>
    <row r="114">
      <c r="A114" s="11" t="inlineStr">
        <is>
          <t>1895-37-LE26</t>
        </is>
      </c>
      <c r="B114" s="13" t="inlineStr">
        <is>
          <t>Sol 43 Servicio Arriendo Motoniveladora para los Caminos de las Comunas de Castro y Dalcahue</t>
        </is>
      </c>
      <c r="C114" s="11" t="n">
        <v>0</v>
      </c>
      <c r="D114" s="13" t="inlineStr">
        <is>
          <t>score 0 &lt; 30</t>
        </is>
      </c>
    </row>
    <row r="115">
      <c r="A115" s="11" t="inlineStr">
        <is>
          <t>1939-21-LP26</t>
        </is>
      </c>
      <c r="B115" s="13" t="inlineStr">
        <is>
          <t>S. de reparación y mantención oficinas Melipilla</t>
        </is>
      </c>
      <c r="C115" s="11" t="n">
        <v>10</v>
      </c>
      <c r="D115" s="13" t="inlineStr">
        <is>
          <t>solo mencion de inmueble, sin servicio inmobiliario</t>
        </is>
      </c>
    </row>
    <row r="116">
      <c r="A116" s="11" t="inlineStr">
        <is>
          <t>1947-160-LR26</t>
        </is>
      </c>
      <c r="B116" s="13" t="inlineStr">
        <is>
          <t>Contratación de Servicio de Arriendo Lavado Planchado y Administración de Ropa de Cama Clínica y de Trabajo</t>
        </is>
      </c>
      <c r="C116" s="11" t="n">
        <v>0</v>
      </c>
      <c r="D116" s="13" t="inlineStr">
        <is>
          <t>score 0 &lt; 30</t>
        </is>
      </c>
    </row>
    <row r="117">
      <c r="A117" s="11" t="inlineStr">
        <is>
          <t>1947-180-LP26</t>
        </is>
      </c>
      <c r="B117" s="13" t="inlineStr">
        <is>
          <t>ADQUISICIÓN DE BAJADAS PRIMARIAS Y SECUNDARIAS CON BOMBA DE INFUSIÓN EN COMODATO PARA EL HOSPITAL DE NIÑOS DR. ROBERTO DEL RÍO JHA</t>
        </is>
      </c>
      <c r="C117" s="11" t="n">
        <v>0</v>
      </c>
      <c r="D117" s="13" t="inlineStr">
        <is>
          <t>score 0 &lt; 30</t>
        </is>
      </c>
    </row>
    <row r="118">
      <c r="A118" s="11" t="inlineStr">
        <is>
          <t>1947-181-LE26</t>
        </is>
      </c>
      <c r="B118" s="13" t="inlineStr">
        <is>
          <t>244 ADQUISICIÓN DE KIT CARTUCHOS PARA DETERMINACIÓN DE GASES Y ELECTROLITOS CON EQUIPO EN COMODATO PARA EL HOSPITAL DE NIÑOS DR. ROBERTO DEL RÍO CFO</t>
        </is>
      </c>
      <c r="C118" s="11" t="n">
        <v>0</v>
      </c>
      <c r="D118" s="13" t="inlineStr">
        <is>
          <t>score 0 &lt; 30</t>
        </is>
      </c>
    </row>
    <row r="119">
      <c r="A119" s="11" t="inlineStr">
        <is>
          <t>1947-194-LP26</t>
        </is>
      </c>
      <c r="B119" s="13" t="inlineStr">
        <is>
          <t>CONTRATACIÓN DEL SERVICIO DE ARRIENDO DE FUENTES DE PODER ININTERRUMPIDAS UPS PARA EL HOSPITAL DE NIÑOS DR. ROBERTO DEL RÍO MMT</t>
        </is>
      </c>
      <c r="C119" s="11" t="n">
        <v>0</v>
      </c>
      <c r="D119" s="13" t="inlineStr">
        <is>
          <t>score 0 &lt; 30</t>
        </is>
      </c>
    </row>
    <row r="120">
      <c r="A120" s="11" t="inlineStr">
        <is>
          <t>1976-22-LE26</t>
        </is>
      </c>
      <c r="B120" s="13" t="inlineStr">
        <is>
          <t>SERVICIO DE MANTENCION Y PINTURA DEL EDIFICIO</t>
        </is>
      </c>
      <c r="C120" s="11" t="n">
        <v>8</v>
      </c>
      <c r="D120" s="13" t="inlineStr">
        <is>
          <t>solo mencion de inmueble, sin servicio inmobiliario</t>
        </is>
      </c>
    </row>
    <row r="121">
      <c r="A121" s="11" t="inlineStr">
        <is>
          <t>1979-213-LE26</t>
        </is>
      </c>
      <c r="B121" s="13" t="inlineStr">
        <is>
          <t>202.26 “CONVENIO DE SUMINISTRO ROLLO ESPUMA PARA SERVICIO DE NEUROREHABILITACION PARA NODO COSTERO: HOSPITAL NVA IMPERIAL.”</t>
        </is>
      </c>
      <c r="C121" s="11" t="n">
        <v>0</v>
      </c>
      <c r="D121" s="13" t="inlineStr">
        <is>
          <t>score 0 &lt; 30</t>
        </is>
      </c>
    </row>
    <row r="122">
      <c r="A122" s="11" t="inlineStr">
        <is>
          <t>1990-3-LE26</t>
        </is>
      </c>
      <c r="B122" s="13" t="inlineStr">
        <is>
          <t>MANTENCIÓN Y REPARACION DE EDIFICACIÓN ANTOFAGAST</t>
        </is>
      </c>
      <c r="C122" s="11" t="n">
        <v>8</v>
      </c>
      <c r="D122" s="13" t="inlineStr">
        <is>
          <t>solo mencion de inmueble, sin servicio inmobiliario</t>
        </is>
      </c>
    </row>
    <row r="123">
      <c r="A123" s="11" t="inlineStr">
        <is>
          <t>1991-1-LE26</t>
        </is>
      </c>
      <c r="B123" s="13" t="inlineStr">
        <is>
          <t>REPARACION PARA HABILITAR OFICINAS QUILPUE</t>
        </is>
      </c>
      <c r="C123" s="11" t="n">
        <v>10</v>
      </c>
      <c r="D123" s="13" t="inlineStr">
        <is>
          <t>solo mencion de inmueble, sin servicio inmobiliario</t>
        </is>
      </c>
    </row>
    <row r="124">
      <c r="A124" s="11" t="inlineStr">
        <is>
          <t>2010-17-O126</t>
        </is>
      </c>
      <c r="B124" s="13" t="inlineStr">
        <is>
          <t>CONSERVACIÓN RUTAS F-818-G Y F-800,COMUNA CASABLANCA,PROVINCIA DE VALPO.</t>
        </is>
      </c>
      <c r="C124" s="11" t="n">
        <v>5</v>
      </c>
      <c r="D124" s="13" t="inlineStr">
        <is>
          <t>solo mencion de inmueble, sin servicio inmobiliario</t>
        </is>
      </c>
    </row>
    <row r="125">
      <c r="A125" s="11" t="inlineStr">
        <is>
          <t>2018-36-LE26</t>
        </is>
      </c>
      <c r="B125" s="13" t="inlineStr">
        <is>
          <t>SER. E INST. DE 3 CONT. Y 1 OFICINA MODULAR</t>
        </is>
      </c>
      <c r="C125" s="11" t="n">
        <v>10</v>
      </c>
      <c r="D125" s="13" t="inlineStr">
        <is>
          <t>solo mencion de inmueble, sin servicio inmobiliario</t>
        </is>
      </c>
    </row>
    <row r="126">
      <c r="A126" s="11" t="inlineStr">
        <is>
          <t>2048-90-LE26</t>
        </is>
      </c>
      <c r="B126" s="13" t="inlineStr">
        <is>
          <t>Convenio de suministro de bolsas de aspiración asociadas a sistema integral de aspiración y recolección de fluidos médicos en comodato para el Hospital de Ancud</t>
        </is>
      </c>
      <c r="C126" s="11" t="n">
        <v>0</v>
      </c>
      <c r="D126" s="13" t="inlineStr">
        <is>
          <t>score 0 &lt; 30</t>
        </is>
      </c>
    </row>
    <row r="127">
      <c r="A127" s="11" t="inlineStr">
        <is>
          <t>2057-4-LE26</t>
        </is>
      </c>
      <c r="B127" s="13" t="inlineStr">
        <is>
          <t>AUTORIZA LLAMADO A LICITACIÓN PÚBLICA Y APRUEBA BASES DE LICITACIÓN PÚBLICA  DENOMINADA “ADQUISICION DE LEÑA PARA LA UNIVERSIDAD ARTURO PRAT SEDE VICTORIA”</t>
        </is>
      </c>
      <c r="C127" s="11" t="n">
        <v>8</v>
      </c>
      <c r="D127" s="13" t="inlineStr">
        <is>
          <t>solo mencion de inmueble, sin servicio inmobiliario</t>
        </is>
      </c>
    </row>
    <row r="128">
      <c r="A128" s="11" t="inlineStr">
        <is>
          <t>2069-186-LR26</t>
        </is>
      </c>
      <c r="B128" s="13" t="inlineStr">
        <is>
          <t>IGS SUM EXÁMENES HEMATOLÓGICOS CON COMODATO HBLT</t>
        </is>
      </c>
      <c r="C128" s="11" t="n">
        <v>0</v>
      </c>
      <c r="D128" s="13" t="inlineStr">
        <is>
          <t>score 0 &lt; 30</t>
        </is>
      </c>
    </row>
    <row r="129">
      <c r="A129" s="11" t="inlineStr">
        <is>
          <t>2080-258-LR26</t>
        </is>
      </c>
      <c r="B129" s="13" t="inlineStr">
        <is>
          <t>SUM. REACTIVOS HEMATOLOGÍA CON EQ. EN COMODATO</t>
        </is>
      </c>
      <c r="C129" s="11" t="n">
        <v>0</v>
      </c>
      <c r="D129" s="13" t="inlineStr">
        <is>
          <t>score 0 &lt; 30</t>
        </is>
      </c>
    </row>
    <row r="130">
      <c r="A130" s="11" t="inlineStr">
        <is>
          <t>2080-275-LP26</t>
        </is>
      </c>
      <c r="B130" s="13" t="inlineStr">
        <is>
          <t>SUM. ESTUDIO FUNCIONAL CON EQ. COMODATO PARA HDFRZ</t>
        </is>
      </c>
      <c r="C130" s="11" t="n">
        <v>0</v>
      </c>
      <c r="D130" s="13" t="inlineStr">
        <is>
          <t>score 0 &lt; 30</t>
        </is>
      </c>
    </row>
    <row r="131">
      <c r="A131" s="11" t="inlineStr">
        <is>
          <t>2107-164-LE26</t>
        </is>
      </c>
      <c r="B131" s="13" t="inlineStr">
        <is>
          <t>ARRIENDO DE TOTEMS AUTOADMINISTRADOS PARA HSC</t>
        </is>
      </c>
      <c r="C131" s="11" t="n">
        <v>0</v>
      </c>
      <c r="D131" s="13" t="inlineStr">
        <is>
          <t>score 0 &lt; 30</t>
        </is>
      </c>
    </row>
    <row r="132">
      <c r="A132" s="11" t="inlineStr">
        <is>
          <t>2107-166-LE26</t>
        </is>
      </c>
      <c r="B132" s="13" t="inlineStr">
        <is>
          <t>SERVICIO DE TRASLADO DE FUNCIONARIOS PARA HOSPITALIZACIÓN DOMICILIARIA</t>
        </is>
      </c>
      <c r="C132" s="11" t="n">
        <v>8</v>
      </c>
      <c r="D132" s="13" t="inlineStr">
        <is>
          <t>score 8 &lt; 30</t>
        </is>
      </c>
    </row>
    <row r="133">
      <c r="A133" s="11" t="inlineStr">
        <is>
          <t>2109-16-LR26</t>
        </is>
      </c>
      <c r="B133" s="13" t="inlineStr">
        <is>
          <t>SUMINISTRO DE FRESAS SET DE TUBOS Y SONDAS DE RADIOFRECUENCIA CON EQUIPAMIENTO EN COMODATO</t>
        </is>
      </c>
      <c r="C133" s="11" t="n">
        <v>0</v>
      </c>
      <c r="D133" s="13" t="inlineStr">
        <is>
          <t>score 0 &lt; 30</t>
        </is>
      </c>
    </row>
    <row r="134">
      <c r="A134" s="11" t="inlineStr">
        <is>
          <t>2111-341-LP26</t>
        </is>
      </c>
      <c r="B134" s="13" t="inlineStr">
        <is>
          <t>KIT JERINGAS INYECTORAS CON EQUIPO EN COMODATO</t>
        </is>
      </c>
      <c r="C134" s="11" t="n">
        <v>0</v>
      </c>
      <c r="D134" s="13" t="inlineStr">
        <is>
          <t>score 0 &lt; 30</t>
        </is>
      </c>
    </row>
    <row r="135">
      <c r="A135" s="11" t="inlineStr">
        <is>
          <t>2147-45-LE26</t>
        </is>
      </c>
      <c r="B135" s="13" t="inlineStr">
        <is>
          <t>REMODELACIÓN Y HABILITACIÓN DE FARMACIA Y BODEGA</t>
        </is>
      </c>
      <c r="C135" s="11" t="n">
        <v>19</v>
      </c>
      <c r="D135" s="13" t="inlineStr">
        <is>
          <t>score 19 &lt; 30</t>
        </is>
      </c>
    </row>
    <row r="136">
      <c r="A136" s="11" t="inlineStr">
        <is>
          <t>2173-33-LP26</t>
        </is>
      </c>
      <c r="B136" s="13" t="inlineStr">
        <is>
          <t>OBRAS DE CIERRE PERIMETRAL FACHADAS DE EDIFICIOS</t>
        </is>
      </c>
      <c r="C136" s="11" t="n">
        <v>8</v>
      </c>
      <c r="D136" s="13" t="inlineStr">
        <is>
          <t>solo mencion de inmueble, sin servicio inmobiliario</t>
        </is>
      </c>
    </row>
    <row r="137">
      <c r="A137" s="11" t="inlineStr">
        <is>
          <t>2180-16-LE26</t>
        </is>
      </c>
      <c r="B137" s="13" t="inlineStr">
        <is>
          <t>habilitacion oficinas en valdivia y osorno</t>
        </is>
      </c>
      <c r="C137" s="11" t="n">
        <v>16</v>
      </c>
      <c r="D137" s="13" t="inlineStr">
        <is>
          <t>score 16 &lt; 30</t>
        </is>
      </c>
    </row>
    <row r="138">
      <c r="A138" s="11" t="inlineStr">
        <is>
          <t>2184-14-LP26</t>
        </is>
      </c>
      <c r="B138" s="13" t="inlineStr">
        <is>
          <t>Serv Traslado Expedientes y Valija Juz Zonal SM</t>
        </is>
      </c>
      <c r="C138" s="11" t="n">
        <v>0</v>
      </c>
      <c r="D138" s="13" t="inlineStr">
        <is>
          <t>score 0 &lt; 30</t>
        </is>
      </c>
    </row>
    <row r="139">
      <c r="A139" s="11" t="inlineStr">
        <is>
          <t>2230-7-LE26</t>
        </is>
      </c>
      <c r="B139" s="13" t="inlineStr">
        <is>
          <t>LLAMADO LICITACION OBRAS DE MANTENCION EDIFICIO INSTITUCIONAL DEFENSORIA REGIONAL DEL BIOBIO</t>
        </is>
      </c>
      <c r="C139" s="11" t="n">
        <v>8</v>
      </c>
      <c r="D139" s="13" t="inlineStr">
        <is>
          <t>solo mencion de inmueble, sin servicio inmobiliario</t>
        </is>
      </c>
    </row>
    <row r="140">
      <c r="A140" s="11" t="inlineStr">
        <is>
          <t>2258-144-LP26</t>
        </is>
      </c>
      <c r="B140" s="13" t="inlineStr">
        <is>
          <t>ARRIENDO DE ASPIRADOR ULTIMA GENERACION Y NEUROMONITOREO</t>
        </is>
      </c>
      <c r="C140" s="11" t="n">
        <v>0</v>
      </c>
      <c r="D140" s="13" t="inlineStr">
        <is>
          <t>score 0 &lt; 30</t>
        </is>
      </c>
    </row>
    <row r="141">
      <c r="A141" s="11" t="inlineStr">
        <is>
          <t>2258-181-LP26</t>
        </is>
      </c>
      <c r="B141" s="13" t="inlineStr">
        <is>
          <t>SUMINISTRO DE VIDEOENDOSCOPIOS FLEXIBLES DESECHABLES MONITOR COMODATO</t>
        </is>
      </c>
      <c r="C141" s="11" t="n">
        <v>0</v>
      </c>
      <c r="D141" s="13" t="inlineStr">
        <is>
          <t>score 0 &lt; 30</t>
        </is>
      </c>
    </row>
    <row r="142">
      <c r="A142" s="11" t="inlineStr">
        <is>
          <t>2261-35-O126</t>
        </is>
      </c>
      <c r="B142" s="13" t="inlineStr">
        <is>
          <t>Conservación camino San Ramón-Coipulafquen, comuna de Padre Las Casas</t>
        </is>
      </c>
      <c r="C142" s="11" t="n">
        <v>5</v>
      </c>
      <c r="D142" s="13" t="inlineStr">
        <is>
          <t>solo mencion de inmueble, sin servicio inmobiliario</t>
        </is>
      </c>
    </row>
    <row r="143">
      <c r="A143" s="11" t="inlineStr">
        <is>
          <t>2274-61-LE26</t>
        </is>
      </c>
      <c r="B143" s="13" t="inlineStr">
        <is>
          <t>SOLICITUD DE ADQUISICIÓN DE ARRIENDO DE RECINTO RECREATIVO PARA FIESTA DE NAVIDAD 2026.- EXP 16201 DC 168</t>
        </is>
      </c>
      <c r="C143" s="11" t="n">
        <v>17</v>
      </c>
      <c r="D143" s="13" t="inlineStr">
        <is>
          <t>score 17 &lt; 30</t>
        </is>
      </c>
    </row>
    <row r="144">
      <c r="A144" s="11" t="inlineStr">
        <is>
          <t>2277-50-LP26</t>
        </is>
      </c>
      <c r="B144" s="13" t="inlineStr">
        <is>
          <t>HABILITACIÓN UNIVERSAL DE VIVIENDAS PARA PERSONAS CON DISCAPACIDAD Y MOVILIDAD REDUCIDA</t>
        </is>
      </c>
      <c r="C144" s="11" t="n">
        <v>0</v>
      </c>
      <c r="D144" s="13" t="inlineStr">
        <is>
          <t>score 0 &lt; 30</t>
        </is>
      </c>
    </row>
    <row r="145">
      <c r="A145" s="11" t="inlineStr">
        <is>
          <t>2282-123-LP26</t>
        </is>
      </c>
      <c r="B145" s="13" t="inlineStr">
        <is>
          <t>Construcción sede social JJVV N° 10 Huachocopihue</t>
        </is>
      </c>
      <c r="C145" s="11" t="n">
        <v>8</v>
      </c>
      <c r="D145" s="13" t="inlineStr">
        <is>
          <t>solo mencion de inmueble, sin servicio inmobiliario</t>
        </is>
      </c>
    </row>
    <row r="146">
      <c r="A146" s="11" t="inlineStr">
        <is>
          <t>2282-124-LP26</t>
        </is>
      </c>
      <c r="B146" s="13" t="inlineStr">
        <is>
          <t>Habilitación espacio ex bodega mercado estación Va</t>
        </is>
      </c>
      <c r="C146" s="11" t="n">
        <v>13</v>
      </c>
      <c r="D146" s="13" t="inlineStr">
        <is>
          <t>score 13 &lt; 30</t>
        </is>
      </c>
    </row>
    <row r="147">
      <c r="A147" s="11" t="inlineStr">
        <is>
          <t>2295-104-LP26</t>
        </is>
      </c>
      <c r="B147" s="13" t="inlineStr">
        <is>
          <t>ADQUISICIÓN EQUIPOS ODONTOLOGICOS PARA EL DEPARTAMENTO DE SALUD TALCA</t>
        </is>
      </c>
      <c r="C147" s="11" t="n">
        <v>5</v>
      </c>
      <c r="D147" s="13" t="inlineStr">
        <is>
          <t>solo mencion de inmueble, sin servicio inmobiliario</t>
        </is>
      </c>
    </row>
    <row r="148">
      <c r="A148" s="11" t="inlineStr">
        <is>
          <t>2307-50-LP26</t>
        </is>
      </c>
      <c r="B148" s="13" t="inlineStr">
        <is>
          <t>CONVENIO DE ARRIENDO DE 02 AUTOCLAVES A VAPOR.</t>
        </is>
      </c>
      <c r="C148" s="11" t="n">
        <v>14</v>
      </c>
      <c r="D148" s="13" t="inlineStr">
        <is>
          <t>score 14 &lt; 30</t>
        </is>
      </c>
    </row>
    <row r="149">
      <c r="A149" s="11" t="inlineStr">
        <is>
          <t>2322-98-LP26</t>
        </is>
      </c>
      <c r="B149" s="13" t="inlineStr">
        <is>
          <t xml:space="preserve"> Reposición Sede N 7 Población Rafael Torreblanca </t>
        </is>
      </c>
      <c r="C149" s="11" t="n">
        <v>8</v>
      </c>
      <c r="D149" s="13" t="inlineStr">
        <is>
          <t>solo mencion de inmueble, sin servicio inmobiliario</t>
        </is>
      </c>
    </row>
    <row r="150">
      <c r="A150" s="11" t="inlineStr">
        <is>
          <t>2332-134-L126</t>
        </is>
      </c>
      <c r="B150" s="13" t="inlineStr">
        <is>
          <t>SERVICIO DE MANTENIMIENTO A REDES Y EQUIPOS DE GASES CLINICOS PARA EL DEPARTAMENTO DE SALUD MUNICIPAL DE PUERTO MONTT</t>
        </is>
      </c>
      <c r="C150" s="11" t="n">
        <v>5</v>
      </c>
      <c r="D150" s="13" t="inlineStr">
        <is>
          <t>solo mencion de inmueble, sin servicio inmobiliario</t>
        </is>
      </c>
    </row>
    <row r="151">
      <c r="A151" s="11" t="inlineStr">
        <is>
          <t>2332-137-L126</t>
        </is>
      </c>
      <c r="B151" s="13" t="inlineStr">
        <is>
          <t>SERVICIO DE MANTENCIÓN PREVENTIVA PARA ELECTROCARDIOGRAFOS, PERTENECIENTES AL DEPARTAMENTO DE SALUD MUNICIPAL DE PUERTO MONTT</t>
        </is>
      </c>
      <c r="C151" s="11" t="n">
        <v>5</v>
      </c>
      <c r="D151" s="13" t="inlineStr">
        <is>
          <t>solo mencion de inmueble, sin servicio inmobiliario</t>
        </is>
      </c>
    </row>
    <row r="152">
      <c r="A152" s="11" t="inlineStr">
        <is>
          <t>2332-138-L126</t>
        </is>
      </c>
      <c r="B152" s="13" t="inlineStr">
        <is>
          <t>MALLA MOSQUITERA E INSTALACION DE ACRILICOS PARA SEGREGACION AREA SUCIA CESFAM, SAPU PADRE HURTADO Y CECOSF PUERTA SUR PERTENECIENTE AL DEPARTAMENTO DE SALUD DE PUERTO MONTT</t>
        </is>
      </c>
      <c r="C152" s="11" t="n">
        <v>5</v>
      </c>
      <c r="D152" s="13" t="inlineStr">
        <is>
          <t>solo mencion de inmueble, sin servicio inmobiliario</t>
        </is>
      </c>
    </row>
    <row r="153">
      <c r="A153" s="11" t="inlineStr">
        <is>
          <t>2332-139-L126</t>
        </is>
      </c>
      <c r="B153" s="13" t="inlineStr">
        <is>
          <t>SERVICIO DE LIMPIEZA DE FOSAS SEPTICAS EN ESTABLECIMIENTOS DEL DEPARTAMENTO DE SALUD MUNICIPAL DE PUERTO MONTT</t>
        </is>
      </c>
      <c r="C153" s="11" t="n">
        <v>7</v>
      </c>
      <c r="D153" s="13" t="inlineStr">
        <is>
          <t>score 7 &lt; 30</t>
        </is>
      </c>
    </row>
    <row r="154">
      <c r="A154" s="11" t="inlineStr">
        <is>
          <t>2332-77-LE26</t>
        </is>
      </c>
      <c r="B154" s="13" t="inlineStr">
        <is>
          <t>CONTRATO DE SUMINISTRO DE SERVICIO DE COFFEE BREAK PARA EL DEPARTAMENTO DE SALUD MUNICIPAL DE PUERTO MONTT</t>
        </is>
      </c>
      <c r="C154" s="11" t="n">
        <v>5</v>
      </c>
      <c r="D154" s="13" t="inlineStr">
        <is>
          <t>solo mencion de inmueble, sin servicio inmobiliario</t>
        </is>
      </c>
    </row>
    <row r="155">
      <c r="A155" s="11" t="inlineStr">
        <is>
          <t>2337-30-LR26</t>
        </is>
      </c>
      <c r="B155" s="13" t="inlineStr">
        <is>
          <t>COMODATO  EQUIPO AUTOMATICO DE QUIMICA MAS EQUIPO ANALIZADOR DE ORINA</t>
        </is>
      </c>
      <c r="C155" s="11" t="n">
        <v>10</v>
      </c>
      <c r="D155" s="13" t="inlineStr">
        <is>
          <t>score 10 &lt; 30</t>
        </is>
      </c>
    </row>
    <row r="156">
      <c r="A156" s="11" t="inlineStr">
        <is>
          <t>2342-36-LR26</t>
        </is>
      </c>
      <c r="B156" s="13" t="inlineStr">
        <is>
          <t>CONCESIÓN DE ESTACIONAMIENTOS EN CALLES DE LA ZONA CENTRO DE LA COMUNA DE SAN BERNARDO APLICANDO SISTEMA DE CONTROL DE TIEMPO DE USO CAPTADORES DE DATOS</t>
        </is>
      </c>
      <c r="C156" s="11" t="n">
        <v>5</v>
      </c>
      <c r="D156" s="13" t="inlineStr">
        <is>
          <t>solo mencion de inmueble, sin servicio inmobiliario</t>
        </is>
      </c>
    </row>
    <row r="157">
      <c r="A157" s="11" t="inlineStr">
        <is>
          <t>2345-133-LP26</t>
        </is>
      </c>
      <c r="B157" s="13" t="inlineStr">
        <is>
          <t>REPARACIÓN ESTRUCTURA E INSTALACIÓN DE LONAS DE PVC Y MALLA EN ESTACIONAMIENTOS DE PARQUE JUAN PABLO II</t>
        </is>
      </c>
      <c r="C157" s="11" t="n">
        <v>5</v>
      </c>
      <c r="D157" s="13" t="inlineStr">
        <is>
          <t>solo mencion de inmueble, sin servicio inmobiliario</t>
        </is>
      </c>
    </row>
    <row r="158">
      <c r="A158" s="11" t="inlineStr">
        <is>
          <t>2345-139-LR26</t>
        </is>
      </c>
      <c r="B158" s="13" t="inlineStr">
        <is>
          <t>Mantención Preventiva y Correctiva Reparaciones Mejoras y Urgencias de los Sistemas Eléctricos en los Inmuebles</t>
        </is>
      </c>
      <c r="C158" s="11" t="n">
        <v>14</v>
      </c>
      <c r="D158" s="13" t="inlineStr">
        <is>
          <t>solo mencion de inmueble, sin servicio inmobiliario</t>
        </is>
      </c>
    </row>
    <row r="159">
      <c r="A159" s="11" t="inlineStr">
        <is>
          <t>2359-17-LR26</t>
        </is>
      </c>
      <c r="B159" s="13" t="inlineStr">
        <is>
          <t>CONCESION DE ESTACIONAMIENTOS</t>
        </is>
      </c>
      <c r="C159" s="11" t="n">
        <v>5</v>
      </c>
      <c r="D159" s="13" t="inlineStr">
        <is>
          <t>solo mencion de inmueble, sin servicio inmobiliario</t>
        </is>
      </c>
    </row>
    <row r="160">
      <c r="A160" s="11" t="inlineStr">
        <is>
          <t>2360-92-LE26</t>
        </is>
      </c>
      <c r="B160" s="13" t="inlineStr">
        <is>
          <t>SERVICIO DE ARRIENDO DE LOCAL Y CENA BIENESTAR DAS</t>
        </is>
      </c>
      <c r="C160" s="11" t="n">
        <v>0</v>
      </c>
      <c r="D160" s="13" t="inlineStr">
        <is>
          <t>score 0 &lt; 30</t>
        </is>
      </c>
    </row>
    <row r="161">
      <c r="A161" s="11" t="inlineStr">
        <is>
          <t>2385-58-CO26</t>
        </is>
      </c>
      <c r="B161" s="13" t="inlineStr">
        <is>
          <t>SERVICIO DE ARRIENDO DE CARGADOR FRONTAL CON OPERA</t>
        </is>
      </c>
      <c r="C161" s="11" t="n">
        <v>14</v>
      </c>
      <c r="D161" s="13" t="inlineStr">
        <is>
          <t>score 14 &lt; 30</t>
        </is>
      </c>
    </row>
    <row r="162">
      <c r="A162" s="11" t="inlineStr">
        <is>
          <t>2393-26-L126</t>
        </is>
      </c>
      <c r="B162" s="13" t="inlineStr">
        <is>
          <t>Mantención del Sistema de Agua Potable y Evaluación de Aguas Servidas, Edificio Consistorial</t>
        </is>
      </c>
      <c r="C162" s="11" t="n">
        <v>8</v>
      </c>
      <c r="D162" s="13" t="inlineStr">
        <is>
          <t>solo mencion de inmueble, sin servicio inmobiliario</t>
        </is>
      </c>
    </row>
    <row r="163">
      <c r="A163" s="11" t="inlineStr">
        <is>
          <t>2405-108-LR26</t>
        </is>
      </c>
      <c r="B163" s="13" t="inlineStr">
        <is>
          <t>HABILITACION Y URBANIZACION LOTEO ALTOS</t>
        </is>
      </c>
      <c r="C163" s="11" t="n">
        <v>6</v>
      </c>
      <c r="D163" s="13" t="inlineStr">
        <is>
          <t>score 6 &lt; 30</t>
        </is>
      </c>
    </row>
    <row r="164">
      <c r="A164" s="11" t="inlineStr">
        <is>
          <t>2405-147-B226</t>
        </is>
      </c>
      <c r="B164" s="13" t="inlineStr">
        <is>
          <t>REMODELACIÓN SEDE SOCIAL JOSE MIGUEL CARRERA PROPUESTA PRIVADA</t>
        </is>
      </c>
      <c r="C164" s="11" t="n">
        <v>8</v>
      </c>
      <c r="D164" s="13" t="inlineStr">
        <is>
          <t>solo mencion de inmueble, sin servicio inmobiliario</t>
        </is>
      </c>
    </row>
    <row r="165">
      <c r="A165" s="11" t="inlineStr">
        <is>
          <t>2416-29-LE26</t>
        </is>
      </c>
      <c r="B165" s="13" t="inlineStr">
        <is>
          <t xml:space="preserve">PRODUCCIÓN DE EVENTOS PARA ACTIVIDADES DE LA OFICINA MUNICIPAL DE INTERMEDIACIÓN LABORAL OMIL 2026 </t>
        </is>
      </c>
      <c r="C165" s="11" t="n">
        <v>10</v>
      </c>
      <c r="D165" s="13" t="inlineStr">
        <is>
          <t>solo mencion de inmueble, sin servicio inmobiliario</t>
        </is>
      </c>
    </row>
    <row r="166">
      <c r="A166" s="11" t="inlineStr">
        <is>
          <t>2436-41-LE26</t>
        </is>
      </c>
      <c r="B166" s="13" t="inlineStr">
        <is>
          <t>Servicio de limpieza y mantencion de colectores de aguas lluvias en la vía publica alcantarillados de recintos municipales y otros</t>
        </is>
      </c>
      <c r="C166" s="11" t="n">
        <v>5</v>
      </c>
      <c r="D166" s="13" t="inlineStr">
        <is>
          <t>solo mencion de inmueble, sin servicio inmobiliario</t>
        </is>
      </c>
    </row>
    <row r="167">
      <c r="A167" s="11" t="inlineStr">
        <is>
          <t>2439-35-LP26</t>
        </is>
      </c>
      <c r="B167" s="13" t="inlineStr">
        <is>
          <t>HABILITACION DE SEÑALETICAS EN RUTA J-65 Y J-691</t>
        </is>
      </c>
      <c r="C167" s="11" t="n">
        <v>0</v>
      </c>
      <c r="D167" s="13" t="inlineStr">
        <is>
          <t>score 0 &lt; 30</t>
        </is>
      </c>
    </row>
    <row r="168">
      <c r="A168" s="11" t="inlineStr">
        <is>
          <t>2440-64-LE26</t>
        </is>
      </c>
      <c r="B168" s="13" t="inlineStr">
        <is>
          <t xml:space="preserve">Mejoramiento Implemencion y Habilitacion de Patio de Parvulo para  el Establecimineto educacional Escuela El Maiten </t>
        </is>
      </c>
      <c r="C168" s="11" t="n">
        <v>8</v>
      </c>
      <c r="D168" s="13" t="inlineStr">
        <is>
          <t>score 8 &lt; 30</t>
        </is>
      </c>
    </row>
    <row r="169">
      <c r="A169" s="11" t="inlineStr">
        <is>
          <t>2455-58-LE26</t>
        </is>
      </c>
      <c r="B169" s="13" t="inlineStr">
        <is>
          <t>RECINTO RECREACIONAL PARA DÍA DEL FUNCIONARIO 2026</t>
        </is>
      </c>
      <c r="C169" s="11" t="n">
        <v>5</v>
      </c>
      <c r="D169" s="13" t="inlineStr">
        <is>
          <t>solo mencion de inmueble, sin servicio inmobiliario</t>
        </is>
      </c>
    </row>
    <row r="170">
      <c r="A170" s="11" t="inlineStr">
        <is>
          <t>2460-133-LE26</t>
        </is>
      </c>
      <c r="B170" s="13" t="inlineStr">
        <is>
          <t>REMODELACIONES EN RECINTOS MUNICIPALES</t>
        </is>
      </c>
      <c r="C170" s="11" t="n">
        <v>5</v>
      </c>
      <c r="D170" s="13" t="inlineStr">
        <is>
          <t>solo mencion de inmueble, sin servicio inmobiliario</t>
        </is>
      </c>
    </row>
    <row r="171">
      <c r="A171" s="11" t="inlineStr">
        <is>
          <t>2464-24-LE26</t>
        </is>
      </c>
      <c r="B171" s="13" t="inlineStr">
        <is>
          <t>SERVICIO DE ARRIENDO HORAS DE VUELO DRONES MUNICIPALIDAD DE QUILLOTA</t>
        </is>
      </c>
      <c r="C171" s="11" t="n">
        <v>0</v>
      </c>
      <c r="D171" s="13" t="inlineStr">
        <is>
          <t>score 0 &lt; 30</t>
        </is>
      </c>
    </row>
    <row r="172">
      <c r="A172" s="11" t="inlineStr">
        <is>
          <t>2490-102-LP26</t>
        </is>
      </c>
      <c r="B172" s="13" t="inlineStr">
        <is>
          <t>CONFECCIÓN NUEVOS PLINTOS EN PIEDRA BASALTO Y TRASLADO LOS LEONES</t>
        </is>
      </c>
      <c r="C172" s="11" t="n">
        <v>0</v>
      </c>
      <c r="D172" s="13" t="inlineStr">
        <is>
          <t>score 0 &lt; 30</t>
        </is>
      </c>
    </row>
    <row r="173">
      <c r="A173" s="11" t="inlineStr">
        <is>
          <t>2490-90-LR26</t>
        </is>
      </c>
      <c r="B173" s="13" t="inlineStr">
        <is>
          <t>ARRIENDO DE FLOTA VEHICULAR PARA LA MUNICIPALIDAD DE PROVIDENCIA.</t>
        </is>
      </c>
      <c r="C173" s="11" t="n">
        <v>16</v>
      </c>
      <c r="D173" s="13" t="inlineStr">
        <is>
          <t>score 16 &lt; 30</t>
        </is>
      </c>
    </row>
    <row r="174">
      <c r="A174" s="11" t="inlineStr">
        <is>
          <t>2494-88-LP26</t>
        </is>
      </c>
      <c r="B174" s="13" t="inlineStr">
        <is>
          <t xml:space="preserve">CONSTRUCCIÓN SEDE CLUB DE RODEO CHILENO DE VILLA ORTEGA COYHAIQUE </t>
        </is>
      </c>
      <c r="C174" s="11" t="n">
        <v>8</v>
      </c>
      <c r="D174" s="13" t="inlineStr">
        <is>
          <t>solo mencion de inmueble, sin servicio inmobiliario</t>
        </is>
      </c>
    </row>
    <row r="175">
      <c r="A175" s="11" t="inlineStr">
        <is>
          <t>2495-23-LP26</t>
        </is>
      </c>
      <c r="B175" s="13" t="inlineStr">
        <is>
          <t>Módulos para oficinas Parque Urbano Coyhaique</t>
        </is>
      </c>
      <c r="C175" s="11" t="n">
        <v>13</v>
      </c>
      <c r="D175" s="13" t="inlineStr">
        <is>
          <t>score 13 &lt; 30</t>
        </is>
      </c>
    </row>
    <row r="176">
      <c r="A176" s="11" t="inlineStr">
        <is>
          <t>2548-102-L126</t>
        </is>
      </c>
      <c r="B176" s="13" t="inlineStr">
        <is>
          <t>CURSO MAIS - CESFAM CONUNHUENU DE PADRE LAS CASAS</t>
        </is>
      </c>
      <c r="C176" s="11" t="n">
        <v>5</v>
      </c>
      <c r="D176" s="13" t="inlineStr">
        <is>
          <t>solo mencion de inmueble, sin servicio inmobiliario</t>
        </is>
      </c>
    </row>
    <row r="177">
      <c r="A177" s="11" t="inlineStr">
        <is>
          <t>2563-37-LP26</t>
        </is>
      </c>
      <c r="B177" s="13" t="inlineStr">
        <is>
          <t>ARRIENDO DE DOS CHECKPOINT AEROPUERTO DIEGO ARACENA</t>
        </is>
      </c>
      <c r="C177" s="11" t="n">
        <v>0</v>
      </c>
      <c r="D177" s="13" t="inlineStr">
        <is>
          <t>score 0 &lt; 30</t>
        </is>
      </c>
    </row>
    <row r="178">
      <c r="A178" s="11" t="inlineStr">
        <is>
          <t>2591-106-LR26</t>
        </is>
      </c>
      <c r="B178" s="13" t="inlineStr">
        <is>
          <t>REPOSICION OFICINA SRCEI POZO ALMONTE</t>
        </is>
      </c>
      <c r="C178" s="11" t="n">
        <v>10</v>
      </c>
      <c r="D178" s="13" t="inlineStr">
        <is>
          <t>solo mencion de inmueble, sin servicio inmobiliario</t>
        </is>
      </c>
    </row>
    <row r="179">
      <c r="A179" s="11" t="inlineStr">
        <is>
          <t>2591-185-L126</t>
        </is>
      </c>
      <c r="B179" s="13" t="inlineStr">
        <is>
          <t>Mejoramiento inmueble de Residencia Transitoria</t>
        </is>
      </c>
      <c r="C179" s="11" t="n">
        <v>14</v>
      </c>
      <c r="D179" s="13" t="inlineStr">
        <is>
          <t>solo mencion de inmueble, sin servicio inmobiliario</t>
        </is>
      </c>
    </row>
    <row r="180">
      <c r="A180" s="11" t="inlineStr">
        <is>
          <t>2656-77-LP26</t>
        </is>
      </c>
      <c r="B180" s="13" t="inlineStr">
        <is>
          <t>ARRIENDO SISTEMAS MUNICIPALES Y CLOUD COMPUTING</t>
        </is>
      </c>
      <c r="C180" s="11" t="n">
        <v>0</v>
      </c>
      <c r="D180" s="13" t="inlineStr">
        <is>
          <t>score 0 &lt; 30</t>
        </is>
      </c>
    </row>
    <row r="181">
      <c r="A181" s="11" t="inlineStr">
        <is>
          <t>2660-88-LE26</t>
        </is>
      </c>
      <c r="B181" s="13" t="inlineStr">
        <is>
          <t>Servicio arriendo Equipo Gabinetes Psicotecnico</t>
        </is>
      </c>
      <c r="C181" s="11" t="n">
        <v>14</v>
      </c>
      <c r="D181" s="13" t="inlineStr">
        <is>
          <t>score 14 &lt; 30</t>
        </is>
      </c>
    </row>
    <row r="182">
      <c r="A182" s="11" t="inlineStr">
        <is>
          <t>2667-39-LR26</t>
        </is>
      </c>
      <c r="B182" s="13" t="inlineStr">
        <is>
          <t>CONSTRUCCIÓN NUEVO EDIFICIO 37° COMISARIA DE VITACURA</t>
        </is>
      </c>
      <c r="C182" s="11" t="n">
        <v>11</v>
      </c>
      <c r="D182" s="13" t="inlineStr">
        <is>
          <t>score 11 &lt; 30</t>
        </is>
      </c>
    </row>
    <row r="183">
      <c r="A183" s="11" t="inlineStr">
        <is>
          <t>2667-97-LP26</t>
        </is>
      </c>
      <c r="B183" s="13" t="inlineStr">
        <is>
          <t>SERVICIO DE PRESTACIONES DE KINESIOLOGÍA YO REHABILITACIÓN PARA VECINOS DE LA COMUNA DE VITACURA CON VULNERABILIDAD MANIFIESTA</t>
        </is>
      </c>
      <c r="C183" s="11" t="n">
        <v>0</v>
      </c>
      <c r="D183" s="13" t="inlineStr">
        <is>
          <t>score 0 &lt; 30</t>
        </is>
      </c>
    </row>
    <row r="184">
      <c r="A184" s="11" t="inlineStr">
        <is>
          <t>2675-114-LP26</t>
        </is>
      </c>
      <c r="B184" s="13" t="inlineStr">
        <is>
          <t>MEJORAMIENTO CUBIERTAS SEDES VECINALES VILLA LOS ANGELES AVENIDA EL RINCON Y RENACER DE PICARQUIN MOSTAZAL</t>
        </is>
      </c>
      <c r="C184" s="11" t="n">
        <v>8</v>
      </c>
      <c r="D184" s="13" t="inlineStr">
        <is>
          <t>solo mencion de inmueble, sin servicio inmobiliario</t>
        </is>
      </c>
    </row>
    <row r="185">
      <c r="A185" s="11" t="inlineStr">
        <is>
          <t>2675-125-LP26</t>
        </is>
      </c>
      <c r="B185" s="13" t="inlineStr">
        <is>
          <t>NUEVO LLAMADO CONST SEDE V. RIOS DE CHILE MOSTAZAL</t>
        </is>
      </c>
      <c r="C185" s="11" t="n">
        <v>8</v>
      </c>
      <c r="D185" s="13" t="inlineStr">
        <is>
          <t>solo mencion de inmueble, sin servicio inmobiliario</t>
        </is>
      </c>
    </row>
    <row r="186">
      <c r="A186" s="11" t="inlineStr">
        <is>
          <t>2675-130-LP26</t>
        </is>
      </c>
      <c r="B186" s="13" t="inlineStr">
        <is>
          <t>CONSTRUCCIÓN SEDE SOCIAL EL PEUMO MOSTAZAL</t>
        </is>
      </c>
      <c r="C186" s="11" t="n">
        <v>8</v>
      </c>
      <c r="D186" s="13" t="inlineStr">
        <is>
          <t>solo mencion de inmueble, sin servicio inmobiliario</t>
        </is>
      </c>
    </row>
    <row r="187">
      <c r="A187" s="11" t="inlineStr">
        <is>
          <t>2697-55-LR26</t>
        </is>
      </c>
      <c r="B187" s="13" t="inlineStr">
        <is>
          <t>HABILITACIÓN CASA DE OFICIOS</t>
        </is>
      </c>
      <c r="C187" s="11" t="n">
        <v>11</v>
      </c>
      <c r="D187" s="13" t="inlineStr">
        <is>
          <t>score 11 &lt; 30</t>
        </is>
      </c>
    </row>
    <row r="188">
      <c r="A188" s="11" t="inlineStr">
        <is>
          <t>2702-73-LE26</t>
        </is>
      </c>
      <c r="B188" s="13" t="inlineStr">
        <is>
          <t>ARRIENDO ÁRBOLES DE NAVIDAD TALAGANTE 2026</t>
        </is>
      </c>
      <c r="C188" s="11" t="n">
        <v>0</v>
      </c>
      <c r="D188" s="13" t="inlineStr">
        <is>
          <t>score 0 &lt; 30</t>
        </is>
      </c>
    </row>
    <row r="189">
      <c r="A189" s="11" t="inlineStr">
        <is>
          <t>2705-64-LE26</t>
        </is>
      </c>
      <c r="B189" s="13" t="inlineStr">
        <is>
          <t>ARRIENDO DE SOPORTE MÁS TELA PUBLICITARIA SC 4450</t>
        </is>
      </c>
      <c r="C189" s="11" t="n">
        <v>0</v>
      </c>
      <c r="D189" s="13" t="inlineStr">
        <is>
          <t>score 0 &lt; 30</t>
        </is>
      </c>
    </row>
    <row r="190">
      <c r="A190" s="11" t="inlineStr">
        <is>
          <t>2709-62-LP26</t>
        </is>
      </c>
      <c r="B190" s="13" t="inlineStr">
        <is>
          <t>REPOSICIÓN SEDE SOCIAL LOS LEICES COMUNA DE OVALLE CÓDIGO BIP 40073288-0</t>
        </is>
      </c>
      <c r="C190" s="11" t="n">
        <v>8</v>
      </c>
      <c r="D190" s="13" t="inlineStr">
        <is>
          <t>solo mencion de inmueble, sin servicio inmobiliario</t>
        </is>
      </c>
    </row>
    <row r="191">
      <c r="A191" s="11" t="inlineStr">
        <is>
          <t>2709-80-LE26</t>
        </is>
      </c>
      <c r="B191" s="13" t="inlineStr">
        <is>
          <t>ADQUISICION INSTALACION CONFIGURACION Y PUESTA EN MARCHA EQUIPAMIENTO DE RED NUEVO EDIFICIO CONSISTORIAL</t>
        </is>
      </c>
      <c r="C191" s="11" t="n">
        <v>8</v>
      </c>
      <c r="D191" s="13" t="inlineStr">
        <is>
          <t>solo mencion de inmueble, sin servicio inmobiliario</t>
        </is>
      </c>
    </row>
    <row r="192">
      <c r="A192" s="11" t="inlineStr">
        <is>
          <t>2710-84-LR26</t>
        </is>
      </c>
      <c r="B192" s="13" t="inlineStr">
        <is>
          <t>COMODATO DE EQUIPOS Y SUMINISTRO LABORATORIO</t>
        </is>
      </c>
      <c r="C192" s="11" t="n">
        <v>0</v>
      </c>
      <c r="D192" s="13" t="inlineStr">
        <is>
          <t>score 0 &lt; 30</t>
        </is>
      </c>
    </row>
    <row r="193">
      <c r="A193" s="11" t="inlineStr">
        <is>
          <t>2713-199-LE26</t>
        </is>
      </c>
      <c r="B193" s="13" t="inlineStr">
        <is>
          <t>Equipamiento informático para oficinas municipales</t>
        </is>
      </c>
      <c r="C193" s="11" t="n">
        <v>10</v>
      </c>
      <c r="D193" s="13" t="inlineStr">
        <is>
          <t>solo mencion de inmueble, sin servicio inmobiliario</t>
        </is>
      </c>
    </row>
    <row r="194">
      <c r="A194" s="11" t="inlineStr">
        <is>
          <t>2719-48-LE26</t>
        </is>
      </c>
      <c r="B194" s="13" t="inlineStr">
        <is>
          <t>ARRIENDO DE 1 ÁRBOL DE NAVIDAD</t>
        </is>
      </c>
      <c r="C194" s="11" t="n">
        <v>0</v>
      </c>
      <c r="D194" s="13" t="inlineStr">
        <is>
          <t>score 0 &lt; 30</t>
        </is>
      </c>
    </row>
    <row r="195">
      <c r="A195" s="11" t="inlineStr">
        <is>
          <t>2741-67-LP26</t>
        </is>
      </c>
      <c r="B195" s="13" t="inlineStr">
        <is>
          <t>MEJORAMIENTO CANCHA DE FUTBOL 3 RECINTO ANFA</t>
        </is>
      </c>
      <c r="C195" s="11" t="n">
        <v>5</v>
      </c>
      <c r="D195" s="13" t="inlineStr">
        <is>
          <t>solo mencion de inmueble, sin servicio inmobiliario</t>
        </is>
      </c>
    </row>
    <row r="196">
      <c r="A196" s="11" t="inlineStr">
        <is>
          <t>2760-128-LP26</t>
        </is>
      </c>
      <c r="B196" s="13" t="inlineStr">
        <is>
          <t>CONSTRUCCIÓN SEDE SINDICATO N1 FERIAS LIBRES</t>
        </is>
      </c>
      <c r="C196" s="11" t="n">
        <v>8</v>
      </c>
      <c r="D196" s="13" t="inlineStr">
        <is>
          <t>solo mencion de inmueble, sin servicio inmobiliario</t>
        </is>
      </c>
    </row>
    <row r="197">
      <c r="A197" s="11" t="inlineStr">
        <is>
          <t>2770-141-LR26</t>
        </is>
      </c>
      <c r="B197" s="13" t="inlineStr">
        <is>
          <t>CONTRATACIÓN DE SERVICIO DE CONSULTORÍA DE DISEÑO: PROYECTO DE ARQUITECTURA ESTRUCTURAS Y ESPECIALIDADES EDIFICIO DE SERVICIOS DE LA ILUSTRE MUNICIPALIDAD DE MAIPÚ</t>
        </is>
      </c>
      <c r="C197" s="11" t="n">
        <v>20</v>
      </c>
      <c r="D197" s="13" t="inlineStr">
        <is>
          <t>score 20 &lt; 30</t>
        </is>
      </c>
    </row>
    <row r="198">
      <c r="A198" s="11" t="inlineStr">
        <is>
          <t>2770-165-LR26</t>
        </is>
      </c>
      <c r="B198" s="13" t="inlineStr">
        <is>
          <t>CONSTRUCCION Y MANTENCIÓN DE INFRAESTRUCTURA VIAL ESPACIOS PÚBLICOS COMUNALES Y RECINTOS MUNICIPALES 2027-2029</t>
        </is>
      </c>
      <c r="C198" s="11" t="n">
        <v>5</v>
      </c>
      <c r="D198" s="13" t="inlineStr">
        <is>
          <t>solo mencion de inmueble, sin servicio inmobiliario</t>
        </is>
      </c>
    </row>
    <row r="199">
      <c r="A199" s="11" t="inlineStr">
        <is>
          <t>2771-74-LE26</t>
        </is>
      </c>
      <c r="B199" s="13" t="inlineStr">
        <is>
          <t>ARRIENDO ARBOL DE NAVIDAD - NAVIDAD EN CHIGUAYANTE 2026</t>
        </is>
      </c>
      <c r="C199" s="11" t="n">
        <v>0</v>
      </c>
      <c r="D199" s="13" t="inlineStr">
        <is>
          <t>score 0 &lt; 30</t>
        </is>
      </c>
    </row>
    <row r="200">
      <c r="A200" s="11" t="inlineStr">
        <is>
          <t>2784-53-LE26</t>
        </is>
      </c>
      <c r="B200" s="13" t="inlineStr">
        <is>
          <t>DISEÑO de ESPECIALIDADES CONST. EDIFICIO CONSISTORIAL I.MUNICIPALIDAD DE LA LIGUA</t>
        </is>
      </c>
      <c r="C200" s="11" t="n">
        <v>14</v>
      </c>
      <c r="D200" s="13" t="inlineStr">
        <is>
          <t>score 14 &lt; 30</t>
        </is>
      </c>
    </row>
    <row r="201">
      <c r="A201" s="11" t="inlineStr">
        <is>
          <t>2785-74-LE26</t>
        </is>
      </c>
      <c r="B201" s="13" t="inlineStr">
        <is>
          <t>“CONSTRUCCIÓN CIERRE PERIMETRAL DE SEDES SOCIALES DIVERSOS SECTORES COMUNA DE SAN PEDRO DE LA PAZ”</t>
        </is>
      </c>
      <c r="C201" s="11" t="n">
        <v>8</v>
      </c>
      <c r="D201" s="13" t="inlineStr">
        <is>
          <t>solo mencion de inmueble, sin servicio inmobiliario</t>
        </is>
      </c>
    </row>
    <row r="202">
      <c r="A202" s="11" t="inlineStr">
        <is>
          <t>2788-58-L126</t>
        </is>
      </c>
      <c r="B202" s="13" t="inlineStr">
        <is>
          <t>OTORGAMIENTO DE PERMISOS DE OBNUP PARA LA VENTA DE SOAP</t>
        </is>
      </c>
      <c r="C202" s="11" t="n">
        <v>0</v>
      </c>
      <c r="D202" s="13" t="inlineStr">
        <is>
          <t>score 0 &lt; 30</t>
        </is>
      </c>
    </row>
    <row r="203">
      <c r="A203" s="11" t="inlineStr">
        <is>
          <t>2793-136-LP26</t>
        </is>
      </c>
      <c r="B203" s="13" t="inlineStr">
        <is>
          <t>ARRIENDO DE BODEGAS PARA LA MUNICIPALIDAD DE HUECH</t>
        </is>
      </c>
      <c r="C203" s="11" t="n">
        <v>19</v>
      </c>
      <c r="D203" s="13" t="inlineStr">
        <is>
          <t>score 19 &lt; 30</t>
        </is>
      </c>
    </row>
    <row r="204">
      <c r="A204" s="11" t="inlineStr">
        <is>
          <t>2794-28-LR26</t>
        </is>
      </c>
      <c r="B204" s="13" t="inlineStr">
        <is>
          <t>Adquisicion de Terreno para Medio Ambiente L.A.</t>
        </is>
      </c>
      <c r="C204" s="11" t="n">
        <v>9</v>
      </c>
      <c r="D204" s="13" t="inlineStr">
        <is>
          <t>solo mencion de inmueble, sin servicio inmobiliario</t>
        </is>
      </c>
    </row>
    <row r="205">
      <c r="A205" s="11" t="inlineStr">
        <is>
          <t>2827-100-LP26</t>
        </is>
      </c>
      <c r="B205" s="13" t="inlineStr">
        <is>
          <t>HABILITACION PASEO COSTANERA GRINGOS CONSTITUCION</t>
        </is>
      </c>
      <c r="C205" s="11" t="n">
        <v>0</v>
      </c>
      <c r="D205" s="13" t="inlineStr">
        <is>
          <t>score 0 &lt; 30</t>
        </is>
      </c>
    </row>
    <row r="206">
      <c r="A206" s="11" t="inlineStr">
        <is>
          <t>2852-68-L126</t>
        </is>
      </c>
      <c r="B206" s="13" t="inlineStr">
        <is>
          <t>Actividades de Reconocimiento de la Oficina de la Mujer</t>
        </is>
      </c>
      <c r="C206" s="11" t="n">
        <v>10</v>
      </c>
      <c r="D206" s="13" t="inlineStr">
        <is>
          <t>solo mencion de inmueble, sin servicio inmobiliario</t>
        </is>
      </c>
    </row>
    <row r="207">
      <c r="A207" s="11" t="inlineStr">
        <is>
          <t>2889-9-LE26</t>
        </is>
      </c>
      <c r="B207" s="13" t="inlineStr">
        <is>
          <t>PLAN MAESTRO INVERNADERO</t>
        </is>
      </c>
      <c r="C207" s="11" t="n">
        <v>16</v>
      </c>
      <c r="D207" s="13" t="inlineStr">
        <is>
          <t>score 16 &lt; 30</t>
        </is>
      </c>
    </row>
    <row r="208">
      <c r="A208" s="11" t="inlineStr">
        <is>
          <t>2905-51-LP26</t>
        </is>
      </c>
      <c r="B208" s="13" t="inlineStr">
        <is>
          <t>“Mejoramiento y Ampliación Sede Social y Plazoleta JJVV Población Padre Hurtado”</t>
        </is>
      </c>
      <c r="C208" s="11" t="n">
        <v>8</v>
      </c>
      <c r="D208" s="13" t="inlineStr">
        <is>
          <t>solo mencion de inmueble, sin servicio inmobiliario</t>
        </is>
      </c>
    </row>
    <row r="209">
      <c r="A209" s="11" t="inlineStr">
        <is>
          <t>2910-27-LE26</t>
        </is>
      </c>
      <c r="B209" s="13" t="inlineStr">
        <is>
          <t>SUMINISTRO DE REACTIVOS SOFTWERE Y COMODATO LAB</t>
        </is>
      </c>
      <c r="C209" s="11" t="n">
        <v>10</v>
      </c>
      <c r="D209" s="13" t="inlineStr">
        <is>
          <t>score 10 &lt; 30</t>
        </is>
      </c>
    </row>
    <row r="210">
      <c r="A210" s="11" t="inlineStr">
        <is>
          <t>2929-21-LP26</t>
        </is>
      </c>
      <c r="B210" s="13" t="inlineStr">
        <is>
          <t>Reposición Sede Social Los Colonos Palena</t>
        </is>
      </c>
      <c r="C210" s="11" t="n">
        <v>8</v>
      </c>
      <c r="D210" s="13" t="inlineStr">
        <is>
          <t>solo mencion de inmueble, sin servicio inmobiliario</t>
        </is>
      </c>
    </row>
    <row r="211">
      <c r="A211" s="11" t="inlineStr">
        <is>
          <t>2929-22-LP26</t>
        </is>
      </c>
      <c r="B211" s="13" t="inlineStr">
        <is>
          <t>Conservación Galpón Agropecuario Palena</t>
        </is>
      </c>
      <c r="C211" s="11" t="n">
        <v>7</v>
      </c>
      <c r="D211" s="13" t="inlineStr">
        <is>
          <t>solo mencion de inmueble, sin servicio inmobiliario</t>
        </is>
      </c>
    </row>
    <row r="212">
      <c r="A212" s="11" t="inlineStr">
        <is>
          <t>2974-89-LE26</t>
        </is>
      </c>
      <c r="B212" s="13" t="inlineStr">
        <is>
          <t>BÚSQUEDA Y REPARACIÓN DE FILTRACIONES DE AGUA POTABLE DE INMUEBLE UBICADO EN COMUNA DE LAS CONDES</t>
        </is>
      </c>
      <c r="C212" s="11" t="n">
        <v>14</v>
      </c>
      <c r="D212" s="13" t="inlineStr">
        <is>
          <t>solo mencion de inmueble, sin servicio inmobiliario</t>
        </is>
      </c>
    </row>
    <row r="213">
      <c r="A213" s="11" t="inlineStr">
        <is>
          <t>2992-50-LE26</t>
        </is>
      </c>
      <c r="B213" s="13" t="inlineStr">
        <is>
          <t>Servicio de reparación mantención y habilitación</t>
        </is>
      </c>
      <c r="C213" s="11" t="n">
        <v>0</v>
      </c>
      <c r="D213" s="13" t="inlineStr">
        <is>
          <t>score 0 &lt; 30</t>
        </is>
      </c>
    </row>
    <row r="214">
      <c r="A214" s="11" t="inlineStr">
        <is>
          <t>3092-23-LE26</t>
        </is>
      </c>
      <c r="B214" s="13" t="inlineStr">
        <is>
          <t>ADQUISICION DE FARMACOS PARA LA FARMACIA BOTICA COMUNAL DE LA DIRECCION DE SALUD I. MUNICIPALIDAD DE CASABLANCA</t>
        </is>
      </c>
      <c r="C214" s="11" t="n">
        <v>5</v>
      </c>
      <c r="D214" s="13" t="inlineStr">
        <is>
          <t>solo mencion de inmueble, sin servicio inmobiliario</t>
        </is>
      </c>
    </row>
    <row r="215">
      <c r="A215" s="11" t="inlineStr">
        <is>
          <t>3117-102-LE26</t>
        </is>
      </c>
      <c r="B215" s="13" t="inlineStr">
        <is>
          <t>SUMIN. E INSTALACIÓN DE OFICINA Y BODEGA MODULAR</t>
        </is>
      </c>
      <c r="C215" s="11" t="n">
        <v>10</v>
      </c>
      <c r="D215" s="13" t="inlineStr">
        <is>
          <t>solo mencion de inmueble, sin servicio inmobiliario</t>
        </is>
      </c>
    </row>
    <row r="216">
      <c r="A216" s="11" t="inlineStr">
        <is>
          <t>3143-50-LE26</t>
        </is>
      </c>
      <c r="B216" s="13" t="inlineStr">
        <is>
          <t>AMPLIACION UCAM LAGORANCO Sede Unión Comunal Adulto Mayor</t>
        </is>
      </c>
      <c r="C216" s="11" t="n">
        <v>8</v>
      </c>
      <c r="D216" s="13" t="inlineStr">
        <is>
          <t>solo mencion de inmueble, sin servicio inmobiliario</t>
        </is>
      </c>
    </row>
    <row r="217">
      <c r="A217" s="11" t="inlineStr">
        <is>
          <t>3159-23-L126</t>
        </is>
      </c>
      <c r="B217" s="13" t="inlineStr">
        <is>
          <t>CONTRATO POR SERVICIO DE LAVANDERIA PARA LAS CASAS DE HUESPEDES</t>
        </is>
      </c>
      <c r="C217" s="11" t="n">
        <v>5</v>
      </c>
      <c r="D217" s="13" t="inlineStr">
        <is>
          <t>solo mencion de inmueble, sin servicio inmobiliario</t>
        </is>
      </c>
    </row>
    <row r="218">
      <c r="A218" s="11" t="inlineStr">
        <is>
          <t>3159-26-LE26</t>
        </is>
      </c>
      <c r="B218" s="13" t="inlineStr">
        <is>
          <t xml:space="preserve">VENTANAS SERRANO </t>
        </is>
      </c>
      <c r="C218" s="11" t="n">
        <v>0</v>
      </c>
      <c r="D218" s="13" t="inlineStr">
        <is>
          <t>score 0 &lt; 30</t>
        </is>
      </c>
    </row>
    <row r="219">
      <c r="A219" s="11" t="inlineStr">
        <is>
          <t>3172-73-LE26</t>
        </is>
      </c>
      <c r="B219" s="13" t="inlineStr">
        <is>
          <t>ESTUDIO DE TERRENO ESFOCAR TEMUCO</t>
        </is>
      </c>
      <c r="C219" s="11" t="n">
        <v>9</v>
      </c>
      <c r="D219" s="13" t="inlineStr">
        <is>
          <t>solo mencion de inmueble, sin servicio inmobiliario</t>
        </is>
      </c>
    </row>
    <row r="220">
      <c r="A220" s="11" t="inlineStr">
        <is>
          <t>3187-30-LE26</t>
        </is>
      </c>
      <c r="B220" s="13" t="inlineStr">
        <is>
          <t>MANTENIMIENTO VENTANAS VV.FF. PUERTO NATALES</t>
        </is>
      </c>
      <c r="C220" s="11" t="n">
        <v>0</v>
      </c>
      <c r="D220" s="13" t="inlineStr">
        <is>
          <t>score 0 &lt; 30</t>
        </is>
      </c>
    </row>
    <row r="221">
      <c r="A221" s="11" t="inlineStr">
        <is>
          <t>324-54-B226</t>
        </is>
      </c>
      <c r="B221" s="13" t="inlineStr">
        <is>
          <t>HABILITACIÓN DIRECCIÓN DE TRÁNSITO</t>
        </is>
      </c>
      <c r="C221" s="11" t="n">
        <v>13</v>
      </c>
      <c r="D221" s="13" t="inlineStr">
        <is>
          <t>score 13 &lt; 30</t>
        </is>
      </c>
    </row>
    <row r="222">
      <c r="A222" s="11" t="inlineStr">
        <is>
          <t>3246-20-L126</t>
        </is>
      </c>
      <c r="B222" s="13" t="inlineStr">
        <is>
          <t>GBA INT (001-002-002) 92 GMC SERV. RESTAURACIÓN PUERTAS INMUEBLE FACH AFTA.</t>
        </is>
      </c>
      <c r="C222" s="11" t="n">
        <v>14</v>
      </c>
      <c r="D222" s="13" t="inlineStr">
        <is>
          <t>solo mencion de inmueble, sin servicio inmobiliario</t>
        </is>
      </c>
    </row>
    <row r="223">
      <c r="A223" s="11" t="inlineStr">
        <is>
          <t>3269-15-LE26</t>
        </is>
      </c>
      <c r="B223" s="13" t="inlineStr">
        <is>
          <t>SA. N 109 SERVICIO DE MANTENIMIENTO DE OFICINAS</t>
        </is>
      </c>
      <c r="C223" s="11" t="n">
        <v>10</v>
      </c>
      <c r="D223" s="13" t="inlineStr">
        <is>
          <t>solo mencion de inmueble, sin servicio inmobiliario</t>
        </is>
      </c>
    </row>
    <row r="224">
      <c r="A224" s="11" t="inlineStr">
        <is>
          <t>3269-18-LE26</t>
        </is>
      </c>
      <c r="B224" s="13" t="inlineStr">
        <is>
          <t>SA.N 103 SVC. DE REPARACIÓN ESTACIONAMIENTOS</t>
        </is>
      </c>
      <c r="C224" s="11" t="n">
        <v>5</v>
      </c>
      <c r="D224" s="13" t="inlineStr">
        <is>
          <t>solo mencion de inmueble, sin servicio inmobiliario</t>
        </is>
      </c>
    </row>
    <row r="225">
      <c r="A225" s="11" t="inlineStr">
        <is>
          <t>3333-51-LP26</t>
        </is>
      </c>
      <c r="B225" s="13" t="inlineStr">
        <is>
          <t>ARRIENDO DE MAQUINARA PESADA PARA LA COMUNA DE OLMÚE</t>
        </is>
      </c>
      <c r="C225" s="11" t="n">
        <v>0</v>
      </c>
      <c r="D225" s="13" t="inlineStr">
        <is>
          <t>score 0 &lt; 30</t>
        </is>
      </c>
    </row>
    <row r="226">
      <c r="A226" s="11" t="inlineStr">
        <is>
          <t>3336-23-LP26</t>
        </is>
      </c>
      <c r="B226" s="13" t="inlineStr">
        <is>
          <t>CONSTRUCCIÓN SEDE SOCIAL DEL DEPORTE LA UNIÓN</t>
        </is>
      </c>
      <c r="C226" s="11" t="n">
        <v>14</v>
      </c>
      <c r="D226" s="13" t="inlineStr">
        <is>
          <t>score 14 &lt; 30</t>
        </is>
      </c>
    </row>
    <row r="227">
      <c r="A227" s="11" t="inlineStr">
        <is>
          <t>3349-37-LE26</t>
        </is>
      </c>
      <c r="B227" s="13" t="inlineStr">
        <is>
          <t>Arriendo de 24 veinticuatro baños químicos</t>
        </is>
      </c>
      <c r="C227" s="11" t="n">
        <v>0</v>
      </c>
      <c r="D227" s="13" t="inlineStr">
        <is>
          <t>score 0 &lt; 30</t>
        </is>
      </c>
    </row>
    <row r="228">
      <c r="A228" s="11" t="inlineStr">
        <is>
          <t>3420-7-LE26</t>
        </is>
      </c>
      <c r="B228" s="13" t="inlineStr">
        <is>
          <t>Servicio de mantenimiento y reparación de casas</t>
        </is>
      </c>
      <c r="C228" s="11" t="n">
        <v>5</v>
      </c>
      <c r="D228" s="13" t="inlineStr">
        <is>
          <t>solo mencion de inmueble, sin servicio inmobiliario</t>
        </is>
      </c>
    </row>
    <row r="229">
      <c r="A229" s="11" t="inlineStr">
        <is>
          <t>3443-47-LP26</t>
        </is>
      </c>
      <c r="B229" s="13" t="inlineStr">
        <is>
          <t>Habilitación Cubierta Feria calle Prat Purranque.</t>
        </is>
      </c>
      <c r="C229" s="11" t="n">
        <v>0</v>
      </c>
      <c r="D229" s="13" t="inlineStr">
        <is>
          <t>score 0 &lt; 30</t>
        </is>
      </c>
    </row>
    <row r="230">
      <c r="A230" s="11" t="inlineStr">
        <is>
          <t>3489-36-LP26</t>
        </is>
      </c>
      <c r="B230" s="13" t="inlineStr">
        <is>
          <t>CONSTRUCCIÓN SEDE SOCIAL CEMENTERIO ESTACIÓN BOROA</t>
        </is>
      </c>
      <c r="C230" s="11" t="n">
        <v>8</v>
      </c>
      <c r="D230" s="13" t="inlineStr">
        <is>
          <t>solo mencion de inmueble, sin servicio inmobiliario</t>
        </is>
      </c>
    </row>
    <row r="231">
      <c r="A231" s="11" t="inlineStr">
        <is>
          <t>3506-97-LE26</t>
        </is>
      </c>
      <c r="B231" s="13" t="inlineStr">
        <is>
          <t>CONTRATACION PARA LA INSTALACION DE UN SISTEMA INTEGRAL DE SEGURIDAD DEL EDIFICIO CONSISTORIAL Y CEMENTERIO MUNICIPAL</t>
        </is>
      </c>
      <c r="C231" s="11" t="n">
        <v>8</v>
      </c>
      <c r="D231" s="13" t="inlineStr">
        <is>
          <t>solo mencion de inmueble, sin servicio inmobiliario</t>
        </is>
      </c>
    </row>
    <row r="232">
      <c r="A232" s="11" t="inlineStr">
        <is>
          <t>3520-27-LP26</t>
        </is>
      </c>
      <c r="B232" s="13" t="inlineStr">
        <is>
          <t>REPOSICIÓN SEDE SOCIAL Y CAMARINES CLUB DEPORTIVO EL BOSQUE COMUNA DE DALCAHUE</t>
        </is>
      </c>
      <c r="C232" s="11" t="n">
        <v>8</v>
      </c>
      <c r="D232" s="13" t="inlineStr">
        <is>
          <t>solo mencion de inmueble, sin servicio inmobiliario</t>
        </is>
      </c>
    </row>
    <row r="233">
      <c r="A233" s="11" t="inlineStr">
        <is>
          <t>3563-17-LE26</t>
        </is>
      </c>
      <c r="B233" s="13" t="inlineStr">
        <is>
          <t>CASACAS SERVICIO DE BIENESTAR DSM</t>
        </is>
      </c>
      <c r="C233" s="11" t="n">
        <v>5</v>
      </c>
      <c r="D233" s="13" t="inlineStr">
        <is>
          <t>solo mencion de inmueble, sin servicio inmobiliario</t>
        </is>
      </c>
    </row>
    <row r="234">
      <c r="A234" s="11" t="inlineStr">
        <is>
          <t>3573-61-LE26</t>
        </is>
      </c>
      <c r="B234" s="13" t="inlineStr">
        <is>
          <t>CONCESIÓN ESTACIONAMIENTOS DE SUPERFICIE CIUDAD DE PANGUIPULLI</t>
        </is>
      </c>
      <c r="C234" s="11" t="n">
        <v>5</v>
      </c>
      <c r="D234" s="13" t="inlineStr">
        <is>
          <t>solo mencion de inmueble, sin servicio inmobiliario</t>
        </is>
      </c>
    </row>
    <row r="235">
      <c r="A235" s="11" t="inlineStr">
        <is>
          <t>3587-22-LP26</t>
        </is>
      </c>
      <c r="B235" s="13" t="inlineStr">
        <is>
          <t>SERVICIO DE MOVILIZACION DEPARTAMENTO DE SALUD</t>
        </is>
      </c>
      <c r="C235" s="11" t="n">
        <v>8</v>
      </c>
      <c r="D235" s="13" t="inlineStr">
        <is>
          <t>score 8 &lt; 30</t>
        </is>
      </c>
    </row>
    <row r="236">
      <c r="A236" s="11" t="inlineStr">
        <is>
          <t>3588-58-LE26</t>
        </is>
      </c>
      <c r="B236" s="13" t="inlineStr">
        <is>
          <t>SERVICIO DECORACIÓN NAVIDEÑA RECINTOS PÚBLICOS</t>
        </is>
      </c>
      <c r="C236" s="11" t="n">
        <v>5</v>
      </c>
      <c r="D236" s="13" t="inlineStr">
        <is>
          <t>solo mencion de inmueble, sin servicio inmobiliario</t>
        </is>
      </c>
    </row>
    <row r="237">
      <c r="A237" s="11" t="inlineStr">
        <is>
          <t>359-120-I226</t>
        </is>
      </c>
      <c r="B237" s="13" t="inlineStr">
        <is>
          <t>BAJADAS DE INFUSIÓN CON EQUIPO EN COMODATO</t>
        </is>
      </c>
      <c r="C237" s="11" t="n">
        <v>0</v>
      </c>
      <c r="D237" s="13" t="inlineStr">
        <is>
          <t>score 0 &lt; 30</t>
        </is>
      </c>
    </row>
    <row r="238">
      <c r="A238" s="11" t="inlineStr">
        <is>
          <t>3594-20-LE26</t>
        </is>
      </c>
      <c r="B238" s="13" t="inlineStr">
        <is>
          <t>INSTALACION DE OFICINAS MODULARES</t>
        </is>
      </c>
      <c r="C238" s="11" t="n">
        <v>10</v>
      </c>
      <c r="D238" s="13" t="inlineStr">
        <is>
          <t>solo mencion de inmueble, sin servicio inmobiliario</t>
        </is>
      </c>
    </row>
    <row r="239">
      <c r="A239" s="11" t="inlineStr">
        <is>
          <t>3625-12-LE26</t>
        </is>
      </c>
      <c r="B239" s="13" t="inlineStr">
        <is>
          <t>Habilitación Técnica Obras Menores e Integración</t>
        </is>
      </c>
      <c r="C239" s="11" t="n">
        <v>0</v>
      </c>
      <c r="D239" s="13" t="inlineStr">
        <is>
          <t>score 0 &lt; 30</t>
        </is>
      </c>
    </row>
    <row r="240">
      <c r="A240" s="11" t="inlineStr">
        <is>
          <t>3671-84-LE26</t>
        </is>
      </c>
      <c r="B240" s="13" t="inlineStr">
        <is>
          <t xml:space="preserve">“SUMINISTRO DE IMPRENTA – SEGUNDO LLAMADO” PARA DEPARTAMENTO SALUD DE CHILLÁN VIEJO. </t>
        </is>
      </c>
      <c r="C240" s="11" t="n">
        <v>5</v>
      </c>
      <c r="D240" s="13" t="inlineStr">
        <is>
          <t>solo mencion de inmueble, sin servicio inmobiliario</t>
        </is>
      </c>
    </row>
    <row r="241">
      <c r="A241" s="11" t="inlineStr">
        <is>
          <t>3678-26-LE26</t>
        </is>
      </c>
      <c r="B241" s="13" t="inlineStr">
        <is>
          <t>“CONSTRUCCIÓN SEDE SOCIAL SECTOR MEDIA LUNA LAS PALMAS COMUNA DE PETORCA”</t>
        </is>
      </c>
      <c r="C241" s="11" t="n">
        <v>8</v>
      </c>
      <c r="D241" s="13" t="inlineStr">
        <is>
          <t>solo mencion de inmueble, sin servicio inmobiliario</t>
        </is>
      </c>
    </row>
    <row r="242">
      <c r="A242" s="11" t="inlineStr">
        <is>
          <t>3681-16-CO26</t>
        </is>
      </c>
      <c r="B242" s="13" t="inlineStr">
        <is>
          <t>CONEXIÓN ALCANTARILLADO SEDE COMUNITARIA VILLA SANTA OLGA</t>
        </is>
      </c>
      <c r="C242" s="11" t="n">
        <v>8</v>
      </c>
      <c r="D242" s="13" t="inlineStr">
        <is>
          <t>solo mencion de inmueble, sin servicio inmobiliario</t>
        </is>
      </c>
    </row>
    <row r="243">
      <c r="A243" s="11" t="inlineStr">
        <is>
          <t>3693-170-LP26</t>
        </is>
      </c>
      <c r="B243" s="13" t="inlineStr">
        <is>
          <t>CONCESIÓN DE ESTACIONAMIENTOS CONTROLADOS DE LA CO</t>
        </is>
      </c>
      <c r="C243" s="11" t="n">
        <v>5</v>
      </c>
      <c r="D243" s="13" t="inlineStr">
        <is>
          <t>solo mencion de inmueble, sin servicio inmobiliario</t>
        </is>
      </c>
    </row>
    <row r="244">
      <c r="A244" s="11" t="inlineStr">
        <is>
          <t>3695-39-LE26</t>
        </is>
      </c>
      <c r="B244" s="13" t="inlineStr">
        <is>
          <t>HABILITACIÓN DE ESPACIO DEPORTIVO LICEO TENO.</t>
        </is>
      </c>
      <c r="C244" s="11" t="n">
        <v>0</v>
      </c>
      <c r="D244" s="13" t="inlineStr">
        <is>
          <t>score 0 &lt; 30</t>
        </is>
      </c>
    </row>
    <row r="245">
      <c r="A245" s="11" t="inlineStr">
        <is>
          <t>3697-48-LE26</t>
        </is>
      </c>
      <c r="B245" s="13" t="inlineStr">
        <is>
          <t>Adq. de materiales de oficina CAEVG Malleco</t>
        </is>
      </c>
      <c r="C245" s="11" t="n">
        <v>10</v>
      </c>
      <c r="D245" s="13" t="inlineStr">
        <is>
          <t>solo mencion de inmueble, sin servicio inmobiliario</t>
        </is>
      </c>
    </row>
    <row r="246">
      <c r="A246" s="11" t="inlineStr">
        <is>
          <t>3697-49-L126</t>
        </is>
      </c>
      <c r="B246" s="13" t="inlineStr">
        <is>
          <t>Serv. de retiro clasificacion carga y traslado de 20 m3 residuos electronicos MEDIO AMBIENTE</t>
        </is>
      </c>
      <c r="C246" s="11" t="n">
        <v>0</v>
      </c>
      <c r="D246" s="13" t="inlineStr">
        <is>
          <t>score 0 &lt; 30</t>
        </is>
      </c>
    </row>
    <row r="247">
      <c r="A247" s="11" t="inlineStr">
        <is>
          <t>3698-14-LR26</t>
        </is>
      </c>
      <c r="B247" s="13" t="inlineStr">
        <is>
          <t>MANTENCIÓN DE DEPENDENCIAS Y RECINTOS DEPORTIVOS</t>
        </is>
      </c>
      <c r="C247" s="11" t="n">
        <v>8</v>
      </c>
      <c r="D247" s="13" t="inlineStr">
        <is>
          <t>solo mencion de inmueble, sin servicio inmobiliario</t>
        </is>
      </c>
    </row>
    <row r="248">
      <c r="A248" s="11" t="inlineStr">
        <is>
          <t>3710-103-LE26</t>
        </is>
      </c>
      <c r="B248" s="13" t="inlineStr">
        <is>
          <t>CONSTRUCCION DE BODEGA PARA  ACOPIO DE PELLET Y SALA  ADMINISTRATIVA CESFAM VICTORIA</t>
        </is>
      </c>
      <c r="C248" s="11" t="n">
        <v>7</v>
      </c>
      <c r="D248" s="13" t="inlineStr">
        <is>
          <t>solo mencion de inmueble, sin servicio inmobiliario</t>
        </is>
      </c>
    </row>
    <row r="249">
      <c r="A249" s="11" t="inlineStr">
        <is>
          <t>3710-104-LE26</t>
        </is>
      </c>
      <c r="B249" s="13" t="inlineStr">
        <is>
          <t>HABILITACIÓN Y MEJORAMIENTO DE ESPACIO FÍSICO EN DEPENDENCIA AIDIA – CESFAM VICTORIA</t>
        </is>
      </c>
      <c r="C249" s="11" t="n">
        <v>0</v>
      </c>
      <c r="D249" s="13" t="inlineStr">
        <is>
          <t>score 0 &lt; 30</t>
        </is>
      </c>
    </row>
    <row r="250">
      <c r="A250" s="11" t="inlineStr">
        <is>
          <t>3730-103-L126</t>
        </is>
      </c>
      <c r="B250" s="13" t="inlineStr">
        <is>
          <t>EQUIPAMIENTO INFANTIL DIDÁCTICO Y DE ESTIMULACIÓN PARA OFICINA LOCAL DE LA NIÑEZ</t>
        </is>
      </c>
      <c r="C250" s="11" t="n">
        <v>10</v>
      </c>
      <c r="D250" s="13" t="inlineStr">
        <is>
          <t>solo mencion de inmueble, sin servicio inmobiliario</t>
        </is>
      </c>
    </row>
    <row r="251">
      <c r="A251" s="11" t="inlineStr">
        <is>
          <t>3730-104-L126</t>
        </is>
      </c>
      <c r="B251" s="13" t="inlineStr">
        <is>
          <t>ADQUISICION DE MATERIAL DIDACTICO Y EDUCATIVO, OFICINA LOCAL DE LA NIÑEZ</t>
        </is>
      </c>
      <c r="C251" s="11" t="n">
        <v>10</v>
      </c>
      <c r="D251" s="13" t="inlineStr">
        <is>
          <t>solo mencion de inmueble, sin servicio inmobiliario</t>
        </is>
      </c>
    </row>
    <row r="252">
      <c r="A252" s="11" t="inlineStr">
        <is>
          <t>3738-23-LP26</t>
        </is>
      </c>
      <c r="B252" s="13" t="inlineStr">
        <is>
          <t>HABILITACIÓN PASEO PEATONAL CALLE COLO COLO HUASCO BAJO</t>
        </is>
      </c>
      <c r="C252" s="11" t="n">
        <v>0</v>
      </c>
      <c r="D252" s="13" t="inlineStr">
        <is>
          <t>score 0 &lt; 30</t>
        </is>
      </c>
    </row>
    <row r="253">
      <c r="A253" s="11" t="inlineStr">
        <is>
          <t>3738-26-LP26</t>
        </is>
      </c>
      <c r="B253" s="13" t="inlineStr">
        <is>
          <t>CONSTRUCCIÓN SEDE COMUNITARIA ADULTO MAYOR SIGLO XXI</t>
        </is>
      </c>
      <c r="C253" s="11" t="n">
        <v>8</v>
      </c>
      <c r="D253" s="13" t="inlineStr">
        <is>
          <t>solo mencion de inmueble, sin servicio inmobiliario</t>
        </is>
      </c>
    </row>
    <row r="254">
      <c r="A254" s="11" t="inlineStr">
        <is>
          <t>3759-60-LR26</t>
        </is>
      </c>
      <c r="B254" s="13" t="inlineStr">
        <is>
          <t>SERVICIO DE ARRENDAMIENTO DE PLATAFORMA</t>
        </is>
      </c>
      <c r="C254" s="11" t="n">
        <v>0</v>
      </c>
      <c r="D254" s="13" t="inlineStr">
        <is>
          <t>score 0 &lt; 30</t>
        </is>
      </c>
    </row>
    <row r="255">
      <c r="A255" s="11" t="inlineStr">
        <is>
          <t>3761-22-L126</t>
        </is>
      </c>
      <c r="B255" s="13" t="inlineStr">
        <is>
          <t>Contratación Peritos Tasadores Proceso Expropiación Proyecto Habitacional Chorrillos Comuna de Coelemu</t>
        </is>
      </c>
      <c r="C255" s="11" t="n">
        <v>28</v>
      </c>
      <c r="D255" s="13" t="inlineStr">
        <is>
          <t>score 28 &lt; 30</t>
        </is>
      </c>
    </row>
    <row r="256">
      <c r="A256" s="11" t="inlineStr">
        <is>
          <t>3768-19-LP26</t>
        </is>
      </c>
      <c r="B256" s="13" t="inlineStr">
        <is>
          <t>MEJORAMIENTO EDIFICIO MUNICIPAL COMUNA DE QUINCHAO</t>
        </is>
      </c>
      <c r="C256" s="11" t="n">
        <v>14</v>
      </c>
      <c r="D256" s="13" t="inlineStr">
        <is>
          <t>score 14 &lt; 30</t>
        </is>
      </c>
    </row>
    <row r="257">
      <c r="A257" s="11" t="inlineStr">
        <is>
          <t>3791-76-LP26</t>
        </is>
      </c>
      <c r="B257" s="13" t="inlineStr">
        <is>
          <t>Construcción Sede A.G. Agrícola y Ganadera de Pequeños Campesinos de La Junta</t>
        </is>
      </c>
      <c r="C257" s="11" t="n">
        <v>11</v>
      </c>
      <c r="D257" s="13" t="inlineStr">
        <is>
          <t>score 11 &lt; 30</t>
        </is>
      </c>
    </row>
    <row r="258">
      <c r="A258" s="11" t="inlineStr">
        <is>
          <t>3791-92-LP26</t>
        </is>
      </c>
      <c r="B258" s="13" t="inlineStr">
        <is>
          <t>Construcción Sede Nuevo Horizonte de Puerto Cisnes</t>
        </is>
      </c>
      <c r="C258" s="11" t="n">
        <v>8</v>
      </c>
      <c r="D258" s="13" t="inlineStr">
        <is>
          <t>solo mencion de inmueble, sin servicio inmobiliario</t>
        </is>
      </c>
    </row>
    <row r="259">
      <c r="A259" s="11" t="inlineStr">
        <is>
          <t>3824-27-LR26</t>
        </is>
      </c>
      <c r="B259" s="13" t="inlineStr">
        <is>
          <t>CONSTRUCCIÓN C.C. DE REHABILITACIÓN INFANTIL</t>
        </is>
      </c>
      <c r="C259" s="11" t="n">
        <v>0</v>
      </c>
      <c r="D259" s="13" t="inlineStr">
        <is>
          <t>score 0 &lt; 30</t>
        </is>
      </c>
    </row>
    <row r="260">
      <c r="A260" s="11" t="inlineStr">
        <is>
          <t>3838-96-LE26</t>
        </is>
      </c>
      <c r="B260" s="13" t="inlineStr">
        <is>
          <t>MEJORAMIENTO ACERAS AV. RAFAEL CASANOVA CONEXIÓN PASADA URBANA</t>
        </is>
      </c>
      <c r="C260" s="11" t="n">
        <v>11</v>
      </c>
      <c r="D260" s="13" t="inlineStr">
        <is>
          <t>score 11 &lt; 30</t>
        </is>
      </c>
    </row>
    <row r="261">
      <c r="A261" s="11" t="inlineStr">
        <is>
          <t>3863-56-LP26</t>
        </is>
      </c>
      <c r="B261" s="13" t="inlineStr">
        <is>
          <t>HABILITACIÓN ESPACIOS DEPORTIVOS IPS</t>
        </is>
      </c>
      <c r="C261" s="11" t="n">
        <v>6</v>
      </c>
      <c r="D261" s="13" t="inlineStr">
        <is>
          <t>score 6 &lt; 30</t>
        </is>
      </c>
    </row>
    <row r="262">
      <c r="A262" s="11" t="inlineStr">
        <is>
          <t>3878-5-LE26</t>
        </is>
      </c>
      <c r="B262" s="13" t="inlineStr">
        <is>
          <t>Informe Financiero e Inventario DAEM FAEP 2026</t>
        </is>
      </c>
      <c r="C262" s="11" t="n">
        <v>0</v>
      </c>
      <c r="D262" s="13" t="inlineStr">
        <is>
          <t>score 0 &lt; 30</t>
        </is>
      </c>
    </row>
    <row r="263">
      <c r="A263" s="11" t="inlineStr">
        <is>
          <t>3882-94-LE26</t>
        </is>
      </c>
      <c r="B263" s="13" t="inlineStr">
        <is>
          <t>CATASTROFE HABILITACIÓN ESTERO VICHICULEN SECTOR SANTA ROSA COMUNA DE LLAY-LLAY</t>
        </is>
      </c>
      <c r="C263" s="11" t="n">
        <v>0</v>
      </c>
      <c r="D263" s="13" t="inlineStr">
        <is>
          <t>score 0 &lt; 30</t>
        </is>
      </c>
    </row>
    <row r="264">
      <c r="A264" s="11" t="inlineStr">
        <is>
          <t>3889-50-LE26</t>
        </is>
      </c>
      <c r="B264" s="13" t="inlineStr">
        <is>
          <t>Habilitacion de espacios ExDaem-Box Dental</t>
        </is>
      </c>
      <c r="C264" s="11" t="n">
        <v>8</v>
      </c>
      <c r="D264" s="13" t="inlineStr">
        <is>
          <t>score 8 &lt; 30</t>
        </is>
      </c>
    </row>
    <row r="265">
      <c r="A265" s="11" t="inlineStr">
        <is>
          <t>3890-225-L126</t>
        </is>
      </c>
      <c r="B265" s="13" t="inlineStr">
        <is>
          <t xml:space="preserve">ADQUISICION DE MATERIALES DE DIFUSION Y MATERIALES DE OFICINA” PARA OFICINA MUNICIPAL DE INFORMACION LABORAL”, OMIL-FREIRE </t>
        </is>
      </c>
      <c r="C265" s="11" t="n">
        <v>10</v>
      </c>
      <c r="D265" s="13" t="inlineStr">
        <is>
          <t>solo mencion de inmueble, sin servicio inmobiliario</t>
        </is>
      </c>
    </row>
    <row r="266">
      <c r="A266" s="11" t="inlineStr">
        <is>
          <t>3929-67-LP26</t>
        </is>
      </c>
      <c r="B266" s="13" t="inlineStr">
        <is>
          <t>MEJORAMIENTO Y AMPLIACIÓN SEDE SOCIAL JJVV PAZ Y PROGRESO POBLACIÓN IRENE FREI” CÓDIGO 1-C-2024-931</t>
        </is>
      </c>
      <c r="C266" s="11" t="n">
        <v>8</v>
      </c>
      <c r="D266" s="13" t="inlineStr">
        <is>
          <t>solo mencion de inmueble, sin servicio inmobiliario</t>
        </is>
      </c>
    </row>
    <row r="267">
      <c r="A267" s="11" t="inlineStr">
        <is>
          <t>3934-60-L126</t>
        </is>
      </c>
      <c r="B267" s="13" t="inlineStr">
        <is>
          <t>ORDENA LICITACION PÚBLICA APRUEBA BASES ADMINISTRATIVAS GENERALES NOMBRA COMISION EVALUADORA PARA PROPUESTA PUBLICA“ADQUISICION DE GLUCOSA PARA TESTE DE TOLERANCIA A LA GLUCOSA PARA USO EN LOS ESTABLECIMIENTO DEL DEPARTAMENTO DE SALUD MUNICIPAL DE FRE</t>
        </is>
      </c>
      <c r="C267" s="11" t="n">
        <v>5</v>
      </c>
      <c r="D267" s="13" t="inlineStr">
        <is>
          <t>solo mencion de inmueble, sin servicio inmobiliario</t>
        </is>
      </c>
    </row>
    <row r="268">
      <c r="A268" s="11" t="inlineStr">
        <is>
          <t>3934-63-L126</t>
        </is>
      </c>
      <c r="B268" s="13" t="inlineStr">
        <is>
          <t>ORDENA LICITACION PÚBLICA APRUEBA BASES ADMINISTRATIVAS GENERALES NOMBRA COMISION EVALUADORA PARA PROPUESTA PUBLICA “ADQUISICION DE EQUIPOS YO EQUIPAMIENTO PARA LOS DIFERENTES CENTROS DEPENDIENTE DEL DEPARTAMENTO DE SALUD MUNICIPAL DE FREIRE”.</t>
        </is>
      </c>
      <c r="C268" s="11" t="n">
        <v>5</v>
      </c>
      <c r="D268" s="13" t="inlineStr">
        <is>
          <t>solo mencion de inmueble, sin servicio inmobiliario</t>
        </is>
      </c>
    </row>
    <row r="269">
      <c r="A269" s="11" t="inlineStr">
        <is>
          <t>3934-64-L126</t>
        </is>
      </c>
      <c r="B269" s="13" t="inlineStr">
        <is>
          <t>ORDENA LICITACION PÚBLICA APRUEBA BASES ADMINISTRATIVAS GENERALES NOMBRA COMISION EVALUADORA PARA PROPUESTA PUBLICA“CONTRATACIÓN SERVICIO TRANSPORTE CON CONDUCTOR PARA TRASLADO DEL PERSONAL DE SALUD EN TERRENO DEL PROGRAMA MÁS SALUD EN COMUNIDAD FREIRE</t>
        </is>
      </c>
      <c r="C269" s="11" t="n">
        <v>13</v>
      </c>
      <c r="D269" s="13" t="inlineStr">
        <is>
          <t>score 13 &lt; 30</t>
        </is>
      </c>
    </row>
    <row r="270">
      <c r="A270" s="11" t="inlineStr">
        <is>
          <t>3963-19-LP26</t>
        </is>
      </c>
      <c r="B270" s="13" t="inlineStr">
        <is>
          <t>Mej. Sede y Multicancha Pobl.Juan Gonzalez Peumo</t>
        </is>
      </c>
      <c r="C270" s="11" t="n">
        <v>8</v>
      </c>
      <c r="D270" s="13" t="inlineStr">
        <is>
          <t>solo mencion de inmueble, sin servicio inmobiliario</t>
        </is>
      </c>
    </row>
    <row r="271">
      <c r="A271" s="11" t="inlineStr">
        <is>
          <t>3981-26-LE26</t>
        </is>
      </c>
      <c r="B271" s="13" t="inlineStr">
        <is>
          <t>HABILITACIÓN E IMPLEMENTACIÓN DE SALA DE RESGUARDO FAMILIAR MUNICIPAL SALA CUNA</t>
        </is>
      </c>
      <c r="C271" s="11" t="n">
        <v>0</v>
      </c>
      <c r="D271" s="13" t="inlineStr">
        <is>
          <t>score 0 &lt; 30</t>
        </is>
      </c>
    </row>
    <row r="272">
      <c r="A272" s="11" t="inlineStr">
        <is>
          <t>3992-31-LE26</t>
        </is>
      </c>
      <c r="B272" s="13" t="inlineStr">
        <is>
          <t>2° LLamado a Auditoria Estados Financieros e Inventario DAEM Comuna Coltauco</t>
        </is>
      </c>
      <c r="C272" s="11" t="n">
        <v>8</v>
      </c>
      <c r="D272" s="13" t="inlineStr">
        <is>
          <t>score 8 &lt; 30</t>
        </is>
      </c>
    </row>
    <row r="273">
      <c r="A273" s="11" t="inlineStr">
        <is>
          <t>4024-33-LE26</t>
        </is>
      </c>
      <c r="B273" s="13" t="inlineStr">
        <is>
          <t>MEJORAMIENTO DEPENDENCIAS EN ESTADIO 1 SAN CARLOS</t>
        </is>
      </c>
      <c r="C273" s="11" t="n">
        <v>11</v>
      </c>
      <c r="D273" s="13" t="inlineStr">
        <is>
          <t>score 11 &lt; 30</t>
        </is>
      </c>
    </row>
    <row r="274">
      <c r="A274" s="11" t="inlineStr">
        <is>
          <t>4055-91-L126</t>
        </is>
      </c>
      <c r="B274" s="13" t="inlineStr">
        <is>
          <t>OBRAS DE DANZA DE LA OFICINA DE ARTES Y CULTURA</t>
        </is>
      </c>
      <c r="C274" s="11" t="n">
        <v>10</v>
      </c>
      <c r="D274" s="13" t="inlineStr">
        <is>
          <t>solo mencion de inmueble, sin servicio inmobiliario</t>
        </is>
      </c>
    </row>
    <row r="275">
      <c r="A275" s="11" t="inlineStr">
        <is>
          <t>4055-92-L126</t>
        </is>
      </c>
      <c r="B275" s="13" t="inlineStr">
        <is>
          <t>SERVICIO DE GIRA TÉCNICA Y FORMACIONES EN TERRENO</t>
        </is>
      </c>
      <c r="C275" s="11" t="n">
        <v>9</v>
      </c>
      <c r="D275" s="13" t="inlineStr">
        <is>
          <t>solo mencion de inmueble, sin servicio inmobiliario</t>
        </is>
      </c>
    </row>
    <row r="276">
      <c r="A276" s="11" t="inlineStr">
        <is>
          <t>407-152-B226</t>
        </is>
      </c>
      <c r="B276" s="13" t="inlineStr">
        <is>
          <t>ARRIENDO DE ESTERILIZADOR DE BAJA TEMPERATURA EN BASE A PERÓXIDO DE HIDRÓGENO</t>
        </is>
      </c>
      <c r="C276" s="11" t="n">
        <v>14</v>
      </c>
      <c r="D276" s="13" t="inlineStr">
        <is>
          <t>score 14 &lt; 30</t>
        </is>
      </c>
    </row>
    <row r="277">
      <c r="A277" s="11" t="inlineStr">
        <is>
          <t>407-164-LE26</t>
        </is>
      </c>
      <c r="B277" s="13" t="inlineStr">
        <is>
          <t>INSTALACIÓN DE RED Y PUESTO DE TOMA DE OXÍGENO EN GIMNASIO ADULTO DE MEDICINA FISICA Y REHABILITACIÓN DEL HGGB</t>
        </is>
      </c>
      <c r="C277" s="11" t="n">
        <v>8</v>
      </c>
      <c r="D277" s="13" t="inlineStr">
        <is>
          <t>score 8 &lt; 30</t>
        </is>
      </c>
    </row>
    <row r="278">
      <c r="A278" s="11" t="inlineStr">
        <is>
          <t>4091-5-LE26</t>
        </is>
      </c>
      <c r="B278" s="13" t="inlineStr">
        <is>
          <t>Informe Financ e inventario B Mueble Dpto. Educ.</t>
        </is>
      </c>
      <c r="C278" s="11" t="n">
        <v>0</v>
      </c>
      <c r="D278" s="13" t="inlineStr">
        <is>
          <t>score 0 &lt; 30</t>
        </is>
      </c>
    </row>
    <row r="279">
      <c r="A279" s="11" t="inlineStr">
        <is>
          <t>4127-57-LE26</t>
        </is>
      </c>
      <c r="B279" s="13" t="inlineStr">
        <is>
          <t>GABSRA. SERVICIO DE ARRIENDO DE 1 MÁQUINA DE CAFÉ</t>
        </is>
      </c>
      <c r="C279" s="11" t="n">
        <v>17</v>
      </c>
      <c r="D279" s="13" t="inlineStr">
        <is>
          <t>score 17 &lt; 30</t>
        </is>
      </c>
    </row>
    <row r="280">
      <c r="A280" s="11" t="inlineStr">
        <is>
          <t>4160-18-LP26</t>
        </is>
      </c>
      <c r="B280" s="13" t="inlineStr">
        <is>
          <t>CONSTRUCCION SEDE SOCIAL JJVV FLORESTA IV HUALPEN</t>
        </is>
      </c>
      <c r="C280" s="11" t="n">
        <v>8</v>
      </c>
      <c r="D280" s="13" t="inlineStr">
        <is>
          <t>solo mencion de inmueble, sin servicio inmobiliario</t>
        </is>
      </c>
    </row>
    <row r="281">
      <c r="A281" s="11" t="inlineStr">
        <is>
          <t>4170-64-LP26</t>
        </is>
      </c>
      <c r="B281" s="13" t="inlineStr">
        <is>
          <t>MEJORAMIENTO SEDE DE PROFESORES</t>
        </is>
      </c>
      <c r="C281" s="11" t="n">
        <v>8</v>
      </c>
      <c r="D281" s="13" t="inlineStr">
        <is>
          <t>solo mencion de inmueble, sin servicio inmobiliario</t>
        </is>
      </c>
    </row>
    <row r="282">
      <c r="A282" s="11" t="inlineStr">
        <is>
          <t>425-57-LR26</t>
        </is>
      </c>
      <c r="B282" s="13" t="inlineStr">
        <is>
          <t>SERVICIO DE INSPECCIÓN TÉCNICA PARA LA HABILITACIÓN DEL CENTRO DE JUSTICIA DE TEMUCO - TRIBUNAL DE FAMILIA CIVILES 1° 2° Y 3° JUZGADO DE LETRAS Y DE FAMILIA Y JUZGADO DE LETRAS DEL TRABAJO</t>
        </is>
      </c>
      <c r="C282" s="11" t="n">
        <v>0</v>
      </c>
      <c r="D282" s="13" t="inlineStr">
        <is>
          <t>score 0 &lt; 30</t>
        </is>
      </c>
    </row>
    <row r="283">
      <c r="A283" s="11" t="inlineStr">
        <is>
          <t>425-66-LP26</t>
        </is>
      </c>
      <c r="B283" s="13" t="inlineStr">
        <is>
          <t>Servicio de Habilitación Fiscalía Judicial</t>
        </is>
      </c>
      <c r="C283" s="11" t="n">
        <v>0</v>
      </c>
      <c r="D283" s="13" t="inlineStr">
        <is>
          <t>score 0 &lt; 30</t>
        </is>
      </c>
    </row>
    <row r="284">
      <c r="A284" s="11" t="inlineStr">
        <is>
          <t>425-72-LP26</t>
        </is>
      </c>
      <c r="B284" s="13" t="inlineStr">
        <is>
          <t>Arriendo de Kioscos Autoconsulta y Aplicativo CJS</t>
        </is>
      </c>
      <c r="C284" s="11" t="n">
        <v>0</v>
      </c>
      <c r="D284" s="13" t="inlineStr">
        <is>
          <t>score 0 &lt; 30</t>
        </is>
      </c>
    </row>
    <row r="285">
      <c r="A285" s="11" t="inlineStr">
        <is>
          <t>4295-87-LE26</t>
        </is>
      </c>
      <c r="B285" s="13" t="inlineStr">
        <is>
          <t>Reposición Sede Comunitaria Francisco de Aguirre-Comuna La Serena</t>
        </is>
      </c>
      <c r="C285" s="11" t="n">
        <v>8</v>
      </c>
      <c r="D285" s="13" t="inlineStr">
        <is>
          <t>solo mencion de inmueble, sin servicio inmobiliario</t>
        </is>
      </c>
    </row>
    <row r="286">
      <c r="A286" s="11" t="inlineStr">
        <is>
          <t>4309-254-LP26</t>
        </is>
      </c>
      <c r="B286" s="13" t="inlineStr">
        <is>
          <t>CONVENIO SUMINISTRO KIT DE DETECCIÓN MOLECULAR MÚLTIPLE MODALIDAD POINT OF CARE PARA PANEL RESPIRATORIO CON EQUIPAMIENTO EN COMODATO</t>
        </is>
      </c>
      <c r="C286" s="11" t="n">
        <v>0</v>
      </c>
      <c r="D286" s="13" t="inlineStr">
        <is>
          <t>score 0 &lt; 30</t>
        </is>
      </c>
    </row>
    <row r="287">
      <c r="A287" s="11" t="inlineStr">
        <is>
          <t>4309-275-LP26</t>
        </is>
      </c>
      <c r="B287" s="13" t="inlineStr">
        <is>
          <t>CONVENIO SUMINISTRO MENINGITIS Y TOXINA CHIGA CON EQUIPO EN COMODATO</t>
        </is>
      </c>
      <c r="C287" s="11" t="n">
        <v>0</v>
      </c>
      <c r="D287" s="13" t="inlineStr">
        <is>
          <t>score 0 &lt; 30</t>
        </is>
      </c>
    </row>
    <row r="288">
      <c r="A288" s="11" t="inlineStr">
        <is>
          <t>4362-21-LP26</t>
        </is>
      </c>
      <c r="B288" s="13" t="inlineStr">
        <is>
          <t>Construcción Sede Comunidad Autista Nacimiento</t>
        </is>
      </c>
      <c r="C288" s="11" t="n">
        <v>8</v>
      </c>
      <c r="D288" s="13" t="inlineStr">
        <is>
          <t>solo mencion de inmueble, sin servicio inmobiliario</t>
        </is>
      </c>
    </row>
    <row r="289">
      <c r="A289" s="11" t="inlineStr">
        <is>
          <t>4371-38-LE26</t>
        </is>
      </c>
      <c r="B289" s="13" t="inlineStr">
        <is>
          <t>SERV. TRANSPORTE PARA VIAJES OFICINA DE LA MUJER</t>
        </is>
      </c>
      <c r="C289" s="11" t="n">
        <v>12</v>
      </c>
      <c r="D289" s="13" t="inlineStr">
        <is>
          <t>score 12 &lt; 30</t>
        </is>
      </c>
    </row>
    <row r="290">
      <c r="A290" s="11" t="inlineStr">
        <is>
          <t>4373-8-LE26</t>
        </is>
      </c>
      <c r="B290" s="13" t="inlineStr">
        <is>
          <t>Reposición Cubierta Edificio Principal DPP IPA</t>
        </is>
      </c>
      <c r="C290" s="11" t="n">
        <v>8</v>
      </c>
      <c r="D290" s="13" t="inlineStr">
        <is>
          <t>solo mencion de inmueble, sin servicio inmobiliario</t>
        </is>
      </c>
    </row>
    <row r="291">
      <c r="A291" s="11" t="inlineStr">
        <is>
          <t>4375-141-LP26</t>
        </is>
      </c>
      <c r="B291" s="13" t="inlineStr">
        <is>
          <t>ARRIENDO DE CAMAS CLINICAS  POR 12 MESES PARA EL HGGB</t>
        </is>
      </c>
      <c r="C291" s="11" t="n">
        <v>0</v>
      </c>
      <c r="D291" s="13" t="inlineStr">
        <is>
          <t>score 0 &lt; 30</t>
        </is>
      </c>
    </row>
    <row r="292">
      <c r="A292" s="11" t="inlineStr">
        <is>
          <t>4377-56-LE26</t>
        </is>
      </c>
      <c r="B292" s="13" t="inlineStr">
        <is>
          <t>HABILITACIÓN DE PUNTOS LIMPIOS</t>
        </is>
      </c>
      <c r="C292" s="11" t="n">
        <v>0</v>
      </c>
      <c r="D292" s="13" t="inlineStr">
        <is>
          <t>score 0 &lt; 30</t>
        </is>
      </c>
    </row>
    <row r="293">
      <c r="A293" s="11" t="inlineStr">
        <is>
          <t>4429-104-LR26</t>
        </is>
      </c>
      <c r="B293" s="13" t="inlineStr">
        <is>
          <t>REACTIVOS INCLUYENDO ANALIZADORES EN COMODATO</t>
        </is>
      </c>
      <c r="C293" s="11" t="n">
        <v>0</v>
      </c>
      <c r="D293" s="13" t="inlineStr">
        <is>
          <t>score 0 &lt; 30</t>
        </is>
      </c>
    </row>
    <row r="294">
      <c r="A294" s="11" t="inlineStr">
        <is>
          <t>4447-20-LP26</t>
        </is>
      </c>
      <c r="B294" s="13" t="inlineStr">
        <is>
          <t xml:space="preserve">HABILITACIÓN DE SISTEMA DE ACREDITACIÓN Y CONTROL </t>
        </is>
      </c>
      <c r="C294" s="11" t="n">
        <v>10</v>
      </c>
      <c r="D294" s="13" t="inlineStr">
        <is>
          <t>score 10 &lt; 30</t>
        </is>
      </c>
    </row>
    <row r="295">
      <c r="A295" s="11" t="inlineStr">
        <is>
          <t>4459-26-LE26</t>
        </is>
      </c>
      <c r="B295" s="13" t="inlineStr">
        <is>
          <t>CONCESIÓN ESTACIONAMIENTOS EN LA COMUNA DE PICHILEMU PERIODO DICIEMBRE 2026 A MARZO 2027</t>
        </is>
      </c>
      <c r="C295" s="11" t="n">
        <v>5</v>
      </c>
      <c r="D295" s="13" t="inlineStr">
        <is>
          <t>solo mencion de inmueble, sin servicio inmobiliario</t>
        </is>
      </c>
    </row>
    <row r="296">
      <c r="A296" s="11" t="inlineStr">
        <is>
          <t>4483-27-LP26</t>
        </is>
      </c>
      <c r="B296" s="13" t="inlineStr">
        <is>
          <t>CONSTRUCCION SEDE SAN LORENZO SECTOR LA CALERA TIERRA AMARILLA</t>
        </is>
      </c>
      <c r="C296" s="11" t="n">
        <v>8</v>
      </c>
      <c r="D296" s="13" t="inlineStr">
        <is>
          <t>solo mencion de inmueble, sin servicio inmobiliario</t>
        </is>
      </c>
    </row>
    <row r="297">
      <c r="A297" s="11" t="inlineStr">
        <is>
          <t>45-55-LE26</t>
        </is>
      </c>
      <c r="B297" s="13" t="inlineStr">
        <is>
          <t>SERVICIO DE MANTENCIÓN DE SISTEMAS DE CLIMATIZACIÓN PARA LAS DEPENDENCIAS DE SENCE A NIVEL NACIONAL</t>
        </is>
      </c>
      <c r="C297" s="11" t="n">
        <v>8</v>
      </c>
      <c r="D297" s="13" t="inlineStr">
        <is>
          <t>solo mencion de inmueble, sin servicio inmobiliario</t>
        </is>
      </c>
    </row>
    <row r="298">
      <c r="A298" s="11" t="inlineStr">
        <is>
          <t>4559-33-L126</t>
        </is>
      </c>
      <c r="B298" s="13" t="inlineStr">
        <is>
          <t>HABILITACIÓN BOX SALA TEA</t>
        </is>
      </c>
      <c r="C298" s="11" t="n">
        <v>0</v>
      </c>
      <c r="D298" s="13" t="inlineStr">
        <is>
          <t>score 0 &lt; 30</t>
        </is>
      </c>
    </row>
    <row r="299">
      <c r="A299" s="11" t="inlineStr">
        <is>
          <t>4562-34-LE26</t>
        </is>
      </c>
      <c r="B299" s="13" t="inlineStr">
        <is>
          <t xml:space="preserve">MEJORAMIENTO EDIFICIO MUNICIPAL GRANEROS </t>
        </is>
      </c>
      <c r="C299" s="11" t="n">
        <v>8</v>
      </c>
      <c r="D299" s="13" t="inlineStr">
        <is>
          <t>solo mencion de inmueble, sin servicio inmobiliario</t>
        </is>
      </c>
    </row>
    <row r="300">
      <c r="A300" s="11" t="inlineStr">
        <is>
          <t>4591-24-LP26</t>
        </is>
      </c>
      <c r="B300" s="13" t="inlineStr">
        <is>
          <t>120 días arriendo Tractor Desbrozador Vialidad Prov. Colchagua Región de OHiggins</t>
        </is>
      </c>
      <c r="C300" s="11" t="n">
        <v>0</v>
      </c>
      <c r="D300" s="13" t="inlineStr">
        <is>
          <t>score 0 &lt; 30</t>
        </is>
      </c>
    </row>
    <row r="301">
      <c r="A301" s="11" t="inlineStr">
        <is>
          <t>4697-29-LE26</t>
        </is>
      </c>
      <c r="B301" s="13" t="inlineStr">
        <is>
          <t>CONSTRUCCION SEDE SOCIAL SANTA LAURA COMUNA DE FUTRONO</t>
        </is>
      </c>
      <c r="C301" s="11" t="n">
        <v>8</v>
      </c>
      <c r="D301" s="13" t="inlineStr">
        <is>
          <t>solo mencion de inmueble, sin servicio inmobiliario</t>
        </is>
      </c>
    </row>
    <row r="302">
      <c r="A302" s="11" t="inlineStr">
        <is>
          <t>4738-13-LP26</t>
        </is>
      </c>
      <c r="B302" s="13" t="inlineStr">
        <is>
          <t>COMODATO DE EQUIPOS PARA LABORATORIO CLINICO Y SUMINISTRO DE SUS REACTIVOS POR 24 MESES</t>
        </is>
      </c>
      <c r="C302" s="11" t="n">
        <v>0</v>
      </c>
      <c r="D302" s="13" t="inlineStr">
        <is>
          <t>score 0 &lt; 30</t>
        </is>
      </c>
    </row>
    <row r="303">
      <c r="A303" s="11" t="inlineStr">
        <is>
          <t>4776-56-LR26</t>
        </is>
      </c>
      <c r="B303" s="13" t="inlineStr">
        <is>
          <t>CONTRATACIÓN DEL SERVICIO DE LABORATORIO CLÍNICO Y UNIDAD DE TOMA DE MUESTRAS AMBULATORIA Y HOSPITALARIA PARA LOS CENTROS DE SALUD Y REHABILITACIÓN CAPREDENA VALPARAÍSO Y LIMACHE</t>
        </is>
      </c>
      <c r="C303" s="11" t="n">
        <v>0</v>
      </c>
      <c r="D303" s="13" t="inlineStr">
        <is>
          <t>score 0 &lt; 30</t>
        </is>
      </c>
    </row>
    <row r="304">
      <c r="A304" s="11" t="inlineStr">
        <is>
          <t>48-41-LE26</t>
        </is>
      </c>
      <c r="B304" s="13" t="inlineStr">
        <is>
          <t>Servicio de mantención reparación e instalación de sistemas de elevación de agua potable sistema de eyección de aguas servidas y estanques de acumulación en dependencias de SERVIU Metropolitano</t>
        </is>
      </c>
      <c r="C304" s="11" t="n">
        <v>8</v>
      </c>
      <c r="D304" s="13" t="inlineStr">
        <is>
          <t>solo mencion de inmueble, sin servicio inmobiliario</t>
        </is>
      </c>
    </row>
    <row r="305">
      <c r="A305" s="11" t="inlineStr">
        <is>
          <t>4955-13-LE26</t>
        </is>
      </c>
      <c r="B305" s="13" t="inlineStr">
        <is>
          <t>SERVICIO DE REMODELACIÓN DE DEPENDENCIAS</t>
        </is>
      </c>
      <c r="C305" s="11" t="n">
        <v>14</v>
      </c>
      <c r="D305" s="13" t="inlineStr">
        <is>
          <t>score 14 &lt; 30</t>
        </is>
      </c>
    </row>
    <row r="306">
      <c r="A306" s="11" t="inlineStr">
        <is>
          <t>4956-87-LE26</t>
        </is>
      </c>
      <c r="B306" s="13" t="inlineStr">
        <is>
          <t>ARRIENDO DE VAN PARA PROGRAMA RED LOCAL 2026-2027</t>
        </is>
      </c>
      <c r="C306" s="11" t="n">
        <v>0</v>
      </c>
      <c r="D306" s="13" t="inlineStr">
        <is>
          <t>score 0 &lt; 30</t>
        </is>
      </c>
    </row>
    <row r="307">
      <c r="A307" s="11" t="inlineStr">
        <is>
          <t>507428-135-LE26</t>
        </is>
      </c>
      <c r="B307" s="13" t="inlineStr">
        <is>
          <t>ADQUISICIÓN DE TEST PANEL GÁSTRICO PARA LA MEDICIÓN DE PEPSINÓGENO I Y II GASTRINA-17 E IGG HELICOBACTER PYLORI CON EQUIPO ANALIZADOR EN COMODATO</t>
        </is>
      </c>
      <c r="C307" s="11" t="n">
        <v>0</v>
      </c>
      <c r="D307" s="13" t="inlineStr">
        <is>
          <t>score 0 &lt; 30</t>
        </is>
      </c>
    </row>
    <row r="308">
      <c r="A308" s="11" t="inlineStr">
        <is>
          <t>507428-138-LE26</t>
        </is>
      </c>
      <c r="B308" s="13" t="inlineStr">
        <is>
          <t>“ADQUISICIÓN EQUIPAMIENTO REHABILITACION NHCQ”</t>
        </is>
      </c>
      <c r="C308" s="11" t="n">
        <v>0</v>
      </c>
      <c r="D308" s="13" t="inlineStr">
        <is>
          <t>score 0 &lt; 30</t>
        </is>
      </c>
    </row>
    <row r="309">
      <c r="A309" s="11" t="inlineStr">
        <is>
          <t>507428-141-L126</t>
        </is>
      </c>
      <c r="B309" s="13" t="inlineStr">
        <is>
          <t>“ADQUISICIÓN EQUIPOS AYUDAS TECNICAS REHABILITACIÓN NHCQ”</t>
        </is>
      </c>
      <c r="C309" s="11" t="n">
        <v>0</v>
      </c>
      <c r="D309" s="13" t="inlineStr">
        <is>
          <t>score 0 &lt; 30</t>
        </is>
      </c>
    </row>
    <row r="310">
      <c r="A310" s="11" t="inlineStr">
        <is>
          <t>507428-142-LP26</t>
        </is>
      </c>
      <c r="B310" s="13" t="inlineStr">
        <is>
          <t>ADQUISICIÓN DE EQUIPOS CLÍNICO DE REHABILITACIÓN NHA</t>
        </is>
      </c>
      <c r="C310" s="11" t="n">
        <v>0</v>
      </c>
      <c r="D310" s="13" t="inlineStr">
        <is>
          <t>score 0 &lt; 30</t>
        </is>
      </c>
    </row>
    <row r="311">
      <c r="A311" s="11" t="inlineStr">
        <is>
          <t>5153-27-LP26</t>
        </is>
      </c>
      <c r="B311" s="13" t="inlineStr">
        <is>
          <t>Servicios de Día Cama UCI Pediátrica con traslado</t>
        </is>
      </c>
      <c r="C311" s="11" t="n">
        <v>0</v>
      </c>
      <c r="D311" s="13" t="inlineStr">
        <is>
          <t>score 0 &lt; 30</t>
        </is>
      </c>
    </row>
    <row r="312">
      <c r="A312" s="11" t="inlineStr">
        <is>
          <t>5209-7-LR26</t>
        </is>
      </c>
      <c r="B312" s="13" t="inlineStr">
        <is>
          <t>SUMINISTRO DE PROPOFOL 1% Y 2% CON EQUIPO COMODATO</t>
        </is>
      </c>
      <c r="C312" s="11" t="n">
        <v>0</v>
      </c>
      <c r="D312" s="13" t="inlineStr">
        <is>
          <t>score 0 &lt; 30</t>
        </is>
      </c>
    </row>
    <row r="313">
      <c r="A313" s="11" t="inlineStr">
        <is>
          <t>539119-92-LP26</t>
        </is>
      </c>
      <c r="B313" s="13" t="inlineStr">
        <is>
          <t>REPARACIÓN DE PISOS Y CUBIERTA EN EL SECTOR COMEDOR Y EN LAS HABITACIONES DE OFICIALES DEL CLUB DE CARABINEROS DEPENDIENTE DEL DEPARTAMENTO RECREACIONAL Y GASTRONÓMICO B1 DE LA DIRECCIÓN DE BIENESTAR DE CARABINEROS.</t>
        </is>
      </c>
      <c r="C313" s="11" t="n">
        <v>5</v>
      </c>
      <c r="D313" s="13" t="inlineStr">
        <is>
          <t>solo mencion de inmueble, sin servicio inmobiliario</t>
        </is>
      </c>
    </row>
    <row r="314">
      <c r="A314" s="11" t="inlineStr">
        <is>
          <t>539119-97-LR26</t>
        </is>
      </c>
      <c r="B314" s="13" t="inlineStr">
        <is>
          <t>BASES ADMINISTRATIVAS Y TÉCNICAS PROYECTO DE CONSTRUCCIÓN DE CABAÑAS RECREACIONALES Y LOGÍSTICAS EN PUERTO NATALES DEPENDIENTE DEL DEPARTAMENTO RECREACIONAL Y. GASTRONÓMICO B.1</t>
        </is>
      </c>
      <c r="C314" s="11" t="n">
        <v>11</v>
      </c>
      <c r="D314" s="13" t="inlineStr">
        <is>
          <t>score 11 &lt; 30</t>
        </is>
      </c>
    </row>
    <row r="315">
      <c r="A315" s="11" t="inlineStr">
        <is>
          <t>539119-98-LE26</t>
        </is>
      </c>
      <c r="B315" s="13" t="inlineStr">
        <is>
          <t>CONTRATACIÓN DE OBRAS DE MEJORAMIENTO DE REDES SANITARIAS E IMPERMEABILIZACIÓN DE CUBIERTA DEL CLUB DE SUBOFICIALES DE CARABINEROS DE CHILE ADMINISTRADO POR EL DEPARTAMENTO RECREACIONAL Y GASTRONÓMICO B.1 DE LA DIRECCIÓN DE BIENESTAR DE CARABINEROS</t>
        </is>
      </c>
      <c r="C315" s="11" t="n">
        <v>5</v>
      </c>
      <c r="D315" s="13" t="inlineStr">
        <is>
          <t>solo mencion de inmueble, sin servicio inmobiliario</t>
        </is>
      </c>
    </row>
    <row r="316">
      <c r="A316" s="11" t="inlineStr">
        <is>
          <t>5413-79-LR26</t>
        </is>
      </c>
      <c r="B316" s="13" t="inlineStr">
        <is>
          <t>EDIFICIO MÓDULO EDUCACIONAL CARRERA DE AGRONOMÍA</t>
        </is>
      </c>
      <c r="C316" s="11" t="n">
        <v>8</v>
      </c>
      <c r="D316" s="13" t="inlineStr">
        <is>
          <t>solo mencion de inmueble, sin servicio inmobiliario</t>
        </is>
      </c>
    </row>
    <row r="317">
      <c r="A317" s="11" t="inlineStr">
        <is>
          <t>548850-6-L126</t>
        </is>
      </c>
      <c r="B317" s="13" t="inlineStr">
        <is>
          <t>SERVICIO DE TRASLADO AL AEROPUERTO PARA USUARIOS POSTULANTES DE PBSI REGIÓN DE ANTOFAGASTA</t>
        </is>
      </c>
      <c r="C317" s="11" t="n">
        <v>0</v>
      </c>
      <c r="D317" s="13" t="inlineStr">
        <is>
          <t>score 0 &lt; 30</t>
        </is>
      </c>
    </row>
    <row r="318">
      <c r="A318" s="11" t="inlineStr">
        <is>
          <t>548866-6-LE26</t>
        </is>
      </c>
      <c r="B318" s="13" t="inlineStr">
        <is>
          <t>E1-O2-RT8- Mantención de inmuebles IPS Araucanía</t>
        </is>
      </c>
      <c r="C318" s="11" t="n">
        <v>14</v>
      </c>
      <c r="D318" s="13" t="inlineStr">
        <is>
          <t>solo mencion de inmueble, sin servicio inmobiliario</t>
        </is>
      </c>
    </row>
    <row r="319">
      <c r="A319" s="11" t="inlineStr">
        <is>
          <t>548874-89-LE26</t>
        </is>
      </c>
      <c r="B319" s="13" t="inlineStr">
        <is>
          <t xml:space="preserve">SERVICIO REGULARIZACIÓN DE INMUEBLE               </t>
        </is>
      </c>
      <c r="C319" s="11" t="n">
        <v>14</v>
      </c>
      <c r="D319" s="13" t="inlineStr">
        <is>
          <t>solo mencion de inmueble, sin servicio inmobiliario</t>
        </is>
      </c>
    </row>
    <row r="320">
      <c r="A320" s="11" t="inlineStr">
        <is>
          <t>5510-7-LR26</t>
        </is>
      </c>
      <c r="B320" s="13" t="inlineStr">
        <is>
          <t>HABILITACIÓN CAFETERÍA ZÓCALO TORRE JEA - FCFM</t>
        </is>
      </c>
      <c r="C320" s="11" t="n">
        <v>0</v>
      </c>
      <c r="D320" s="13" t="inlineStr">
        <is>
          <t>score 0 &lt; 30</t>
        </is>
      </c>
    </row>
    <row r="321">
      <c r="A321" s="11" t="inlineStr">
        <is>
          <t>5520-78-LR26</t>
        </is>
      </c>
      <c r="B321" s="13" t="inlineStr">
        <is>
          <t>Servicio de Gestión para Instalación de Faena en Recintos Mineros y Otros</t>
        </is>
      </c>
      <c r="C321" s="11" t="n">
        <v>5</v>
      </c>
      <c r="D321" s="13" t="inlineStr">
        <is>
          <t>solo mencion de inmueble, sin servicio inmobiliario</t>
        </is>
      </c>
    </row>
    <row r="322">
      <c r="A322" s="11" t="inlineStr">
        <is>
          <t>5520-85-CO26</t>
        </is>
      </c>
      <c r="B322" s="13" t="inlineStr">
        <is>
          <t>SERVICIO MANTENCIÓN Y REPARACIÓN SEDE IQUIQUE</t>
        </is>
      </c>
      <c r="C322" s="11" t="n">
        <v>8</v>
      </c>
      <c r="D322" s="13" t="inlineStr">
        <is>
          <t>solo mencion de inmueble, sin servicio inmobiliario</t>
        </is>
      </c>
    </row>
    <row r="323">
      <c r="A323" s="11" t="inlineStr">
        <is>
          <t>5586-165-LP26</t>
        </is>
      </c>
      <c r="B323" s="13" t="inlineStr">
        <is>
          <t>JG HABILITACIÓN LABORATORIO ORTESIS</t>
        </is>
      </c>
      <c r="C323" s="11" t="n">
        <v>0</v>
      </c>
      <c r="D323" s="13" t="inlineStr">
        <is>
          <t>score 0 &lt; 30</t>
        </is>
      </c>
    </row>
    <row r="324">
      <c r="A324" s="11" t="inlineStr">
        <is>
          <t>5586-168-LE26</t>
        </is>
      </c>
      <c r="B324" s="13" t="inlineStr">
        <is>
          <t>BR CONTRATO PARA MANTENIMIENTO DE PUERTAS Y VENTANAS</t>
        </is>
      </c>
      <c r="C324" s="11" t="n">
        <v>0</v>
      </c>
      <c r="D324" s="13" t="inlineStr">
        <is>
          <t>score 0 &lt; 30</t>
        </is>
      </c>
    </row>
    <row r="325">
      <c r="A325" s="11" t="inlineStr">
        <is>
          <t>5612-13-LE26</t>
        </is>
      </c>
      <c r="B325" s="13" t="inlineStr">
        <is>
          <t xml:space="preserve">NOS - MANTEN EDIFICIOS PANGUIPULLI </t>
        </is>
      </c>
      <c r="C325" s="11" t="n">
        <v>8</v>
      </c>
      <c r="D325" s="13" t="inlineStr">
        <is>
          <t>solo mencion de inmueble, sin servicio inmobiliario</t>
        </is>
      </c>
    </row>
    <row r="326">
      <c r="A326" s="11" t="inlineStr">
        <is>
          <t>564953-76-LR26</t>
        </is>
      </c>
      <c r="B326" s="13" t="inlineStr">
        <is>
          <t>Habilitación de Farmacia Comunal Apoquindo</t>
        </is>
      </c>
      <c r="C326" s="11" t="n">
        <v>0</v>
      </c>
      <c r="D326" s="13" t="inlineStr">
        <is>
          <t>score 0 &lt; 30</t>
        </is>
      </c>
    </row>
    <row r="327">
      <c r="A327" s="11" t="inlineStr">
        <is>
          <t>564953-81-LE26</t>
        </is>
      </c>
      <c r="B327" s="13" t="inlineStr">
        <is>
          <t>HABILITACIÓN DE OFICINAS CESFAM DR ANIBAL ARIZTÍA</t>
        </is>
      </c>
      <c r="C327" s="11" t="n">
        <v>22</v>
      </c>
      <c r="D327" s="13" t="inlineStr">
        <is>
          <t>score 22 &lt; 30</t>
        </is>
      </c>
    </row>
    <row r="328">
      <c r="A328" s="11" t="inlineStr">
        <is>
          <t>584264-14-LP26</t>
        </is>
      </c>
      <c r="B328" s="13" t="inlineStr">
        <is>
          <t>SERVICIO DE BODEGAJE EXTERNO</t>
        </is>
      </c>
      <c r="C328" s="11" t="n">
        <v>10</v>
      </c>
      <c r="D328" s="13" t="inlineStr">
        <is>
          <t>score 10 &lt; 30</t>
        </is>
      </c>
    </row>
    <row r="329">
      <c r="A329" s="11" t="inlineStr">
        <is>
          <t>584264-58-LR26</t>
        </is>
      </c>
      <c r="B329" s="13" t="inlineStr">
        <is>
          <t>ARRIENDO DE CLÍNICAS MÓVILES</t>
        </is>
      </c>
      <c r="C329" s="11" t="n">
        <v>14</v>
      </c>
      <c r="D329" s="13" t="inlineStr">
        <is>
          <t>score 14 &lt; 30</t>
        </is>
      </c>
    </row>
    <row r="330">
      <c r="A330" s="11" t="inlineStr">
        <is>
          <t>5908-33-LR26</t>
        </is>
      </c>
      <c r="B330" s="13" t="inlineStr">
        <is>
          <t>REPOSICIÓN SEDE SOCIAL N°20 Y COMEDOR COMUNITARIO LOCALIDAD DE CHUSMIZA II CÓDIGO BIP 40025921-0</t>
        </is>
      </c>
      <c r="C330" s="11" t="n">
        <v>8</v>
      </c>
      <c r="D330" s="13" t="inlineStr">
        <is>
          <t>solo mencion de inmueble, sin servicio inmobiliario</t>
        </is>
      </c>
    </row>
    <row r="331">
      <c r="A331" s="11" t="inlineStr">
        <is>
          <t>592-18-LP26</t>
        </is>
      </c>
      <c r="B331" s="13" t="inlineStr">
        <is>
          <t>Servicio de Obras Menores en edificio NC y Otras</t>
        </is>
      </c>
      <c r="C331" s="11" t="n">
        <v>8</v>
      </c>
      <c r="D331" s="13" t="inlineStr">
        <is>
          <t>solo mencion de inmueble, sin servicio inmobiliario</t>
        </is>
      </c>
    </row>
    <row r="332">
      <c r="A332" s="11" t="inlineStr">
        <is>
          <t>605-19-LR26</t>
        </is>
      </c>
      <c r="B332" s="13" t="inlineStr">
        <is>
          <t>SERVICIO DE ARRIENDO A CINCO AÑOS DEL SISTEMA DE A</t>
        </is>
      </c>
      <c r="C332" s="11" t="n">
        <v>0</v>
      </c>
      <c r="D332" s="13" t="inlineStr">
        <is>
          <t>score 0 &lt; 30</t>
        </is>
      </c>
    </row>
    <row r="333">
      <c r="A333" s="11" t="inlineStr">
        <is>
          <t>608-210-LR26</t>
        </is>
      </c>
      <c r="B333" s="13" t="inlineStr">
        <is>
          <t>ADQUISICION DE ENERGIA BIPOLAR PARA SELLADO Y CORTE DE VASOS PARA CIRUGIA CON EQUIPO EN COMODATO</t>
        </is>
      </c>
      <c r="C333" s="11" t="n">
        <v>0</v>
      </c>
      <c r="D333" s="13" t="inlineStr">
        <is>
          <t>score 0 &lt; 30</t>
        </is>
      </c>
    </row>
    <row r="334">
      <c r="A334" s="11" t="inlineStr">
        <is>
          <t>618641-32-L126</t>
        </is>
      </c>
      <c r="B334" s="13" t="inlineStr">
        <is>
          <t>PRODUCCION DE EVENTOS FESTIVAL DE LA DANZA EN CASABLANCA</t>
        </is>
      </c>
      <c r="C334" s="11" t="n">
        <v>5</v>
      </c>
      <c r="D334" s="13" t="inlineStr">
        <is>
          <t>solo mencion de inmueble, sin servicio inmobiliario</t>
        </is>
      </c>
    </row>
    <row r="335">
      <c r="A335" s="11" t="inlineStr">
        <is>
          <t>618923-20-LP26</t>
        </is>
      </c>
      <c r="B335" s="13" t="inlineStr">
        <is>
          <t>SERVICIO ARRIENDO EQUIPOS E IMPRESIÓN DOCUMENTOS</t>
        </is>
      </c>
      <c r="C335" s="11" t="n">
        <v>0</v>
      </c>
      <c r="D335" s="13" t="inlineStr">
        <is>
          <t>score 0 &lt; 30</t>
        </is>
      </c>
    </row>
    <row r="336">
      <c r="A336" s="11" t="inlineStr">
        <is>
          <t>620956-13-LE26</t>
        </is>
      </c>
      <c r="B336" s="13" t="inlineStr">
        <is>
          <t>Conservación y mejoramiento edificio pasos CF</t>
        </is>
      </c>
      <c r="C336" s="11" t="n">
        <v>8</v>
      </c>
      <c r="D336" s="13" t="inlineStr">
        <is>
          <t>solo mencion de inmueble, sin servicio inmobiliario</t>
        </is>
      </c>
    </row>
    <row r="337">
      <c r="A337" s="11" t="inlineStr">
        <is>
          <t>635-173-L126</t>
        </is>
      </c>
      <c r="B337" s="13" t="inlineStr">
        <is>
          <t>CUIDADOS Y LIMPIEZA DEL RECINTO RECREACIONAL SERVICIO DE SALUD ARICA BIENESTAR DEL PERSONAL, AÑO 2027</t>
        </is>
      </c>
      <c r="C337" s="11" t="n">
        <v>5</v>
      </c>
      <c r="D337" s="13" t="inlineStr">
        <is>
          <t>solo mencion de inmueble, sin servicio inmobiliario</t>
        </is>
      </c>
    </row>
    <row r="338">
      <c r="A338" s="11" t="inlineStr">
        <is>
          <t>638-14-O126</t>
        </is>
      </c>
      <c r="B338" s="13" t="inlineStr">
        <is>
          <t>CONSTRUCCIÓN EDIFICIO INSTITUCIONAL MINVU MAGALLANES Y ANTÁRTICA CHILENA</t>
        </is>
      </c>
      <c r="C338" s="11" t="n">
        <v>8</v>
      </c>
      <c r="D338" s="13" t="inlineStr">
        <is>
          <t>solo mencion de inmueble, sin servicio inmobiliario</t>
        </is>
      </c>
    </row>
    <row r="339">
      <c r="A339" s="11" t="inlineStr">
        <is>
          <t>643-41-LE26</t>
        </is>
      </c>
      <c r="B339" s="13" t="inlineStr">
        <is>
          <t>TRASLADO FUNCIONARIOS REGULARIZACION DE LOTEOS</t>
        </is>
      </c>
      <c r="C339" s="11" t="n">
        <v>9</v>
      </c>
      <c r="D339" s="13" t="inlineStr">
        <is>
          <t>score 9 &lt; 30</t>
        </is>
      </c>
    </row>
    <row r="340">
      <c r="A340" s="11" t="inlineStr">
        <is>
          <t>643553-29-LP26</t>
        </is>
      </c>
      <c r="B340" s="13" t="inlineStr">
        <is>
          <t>ARRIENDO DE BODEGAS</t>
        </is>
      </c>
      <c r="C340" s="11" t="n">
        <v>19</v>
      </c>
      <c r="D340" s="13" t="inlineStr">
        <is>
          <t>score 19 &lt; 30</t>
        </is>
      </c>
    </row>
    <row r="341">
      <c r="A341" s="11" t="inlineStr">
        <is>
          <t>643553-31-L126</t>
        </is>
      </c>
      <c r="B341" s="13" t="inlineStr">
        <is>
          <t>SUMINISTRO DE ARRIENDO DE HOLTERS</t>
        </is>
      </c>
      <c r="C341" s="11" t="n">
        <v>0</v>
      </c>
      <c r="D341" s="13" t="inlineStr">
        <is>
          <t>score 0 &lt; 30</t>
        </is>
      </c>
    </row>
    <row r="342">
      <c r="A342" s="11" t="inlineStr">
        <is>
          <t>644-6-LP26</t>
        </is>
      </c>
      <c r="B342" s="13" t="inlineStr">
        <is>
          <t>DIAGN Y ELAB PLAN MAESTRO BARRIO PUDETO BAJO</t>
        </is>
      </c>
      <c r="C342" s="11" t="n">
        <v>16</v>
      </c>
      <c r="D342" s="13" t="inlineStr">
        <is>
          <t>score 16 &lt; 30</t>
        </is>
      </c>
    </row>
    <row r="343">
      <c r="A343" s="11" t="inlineStr">
        <is>
          <t>644-7-LP26</t>
        </is>
      </c>
      <c r="B343" s="13" t="inlineStr">
        <is>
          <t>DIAGNÓSTICO Y ELABORACIÓN PLAN MAESTRO GAMBOA</t>
        </is>
      </c>
      <c r="C343" s="11" t="n">
        <v>16</v>
      </c>
      <c r="D343" s="13" t="inlineStr">
        <is>
          <t>score 16 &lt; 30</t>
        </is>
      </c>
    </row>
    <row r="344">
      <c r="A344" s="11" t="inlineStr">
        <is>
          <t>644-8-LP26</t>
        </is>
      </c>
      <c r="B344" s="13" t="inlineStr">
        <is>
          <t>DIAGNÓST Y ELAB DEL PLAN MAESTRO LAS CASCADAS</t>
        </is>
      </c>
      <c r="C344" s="11" t="n">
        <v>16</v>
      </c>
      <c r="D344" s="13" t="inlineStr">
        <is>
          <t>score 16 &lt; 30</t>
        </is>
      </c>
    </row>
    <row r="345">
      <c r="A345" s="11" t="inlineStr">
        <is>
          <t>645-6-LE26</t>
        </is>
      </c>
      <c r="B345" s="13" t="inlineStr">
        <is>
          <t>OBRAS DE MEJORAMIENTO EDIFICIO SEREMI MINVU 2026</t>
        </is>
      </c>
      <c r="C345" s="11" t="n">
        <v>8</v>
      </c>
      <c r="D345" s="13" t="inlineStr">
        <is>
          <t>solo mencion de inmueble, sin servicio inmobiliario</t>
        </is>
      </c>
    </row>
    <row r="346">
      <c r="A346" s="11" t="inlineStr">
        <is>
          <t>653-15-O126</t>
        </is>
      </c>
      <c r="B346" s="13" t="inlineStr">
        <is>
          <t>Habilitación de Terrenos Etapa V Lote D y E, Las Americas, Talca</t>
        </is>
      </c>
      <c r="C346" s="11" t="n">
        <v>15</v>
      </c>
      <c r="D346" s="13" t="inlineStr">
        <is>
          <t>score 15 &lt; 30</t>
        </is>
      </c>
    </row>
    <row r="347">
      <c r="A347" s="11" t="inlineStr">
        <is>
          <t>660-15-LE26</t>
        </is>
      </c>
      <c r="B347" s="13" t="inlineStr">
        <is>
          <t>OBRAS MENORES EDIFICIO SEREMI MINVU</t>
        </is>
      </c>
      <c r="C347" s="11" t="n">
        <v>14</v>
      </c>
      <c r="D347" s="13" t="inlineStr">
        <is>
          <t>score 14 &lt; 30</t>
        </is>
      </c>
    </row>
    <row r="348">
      <c r="A348" s="11" t="inlineStr">
        <is>
          <t>680504-3-L126</t>
        </is>
      </c>
      <c r="B348" s="13" t="inlineStr">
        <is>
          <t>Mantención Anual Tableros Eléctricos del Edificio RPP Curicó</t>
        </is>
      </c>
      <c r="C348" s="11" t="n">
        <v>8</v>
      </c>
      <c r="D348" s="13" t="inlineStr">
        <is>
          <t>solo mencion de inmueble, sin servicio inmobiliario</t>
        </is>
      </c>
    </row>
    <row r="349">
      <c r="A349" s="11" t="inlineStr">
        <is>
          <t>680504-4-LE26</t>
        </is>
      </c>
      <c r="B349" s="13" t="inlineStr">
        <is>
          <t>SERVICIO TRASLADO FUNCIONARIO NOTIFICADOR</t>
        </is>
      </c>
      <c r="C349" s="11" t="n">
        <v>0</v>
      </c>
      <c r="D349" s="13" t="inlineStr">
        <is>
          <t>score 0 &lt; 30</t>
        </is>
      </c>
    </row>
    <row r="350">
      <c r="A350" s="11" t="inlineStr">
        <is>
          <t>685-5-LE26</t>
        </is>
      </c>
      <c r="B350" s="13" t="inlineStr">
        <is>
          <t>Mensura para la regularizacion de 61 inmuebles</t>
        </is>
      </c>
      <c r="C350" s="11" t="n">
        <v>14</v>
      </c>
      <c r="D350" s="13" t="inlineStr">
        <is>
          <t>solo mencion de inmueble, sin servicio inmobiliario</t>
        </is>
      </c>
    </row>
    <row r="351">
      <c r="A351" s="11" t="inlineStr">
        <is>
          <t>697057-33-LE26</t>
        </is>
      </c>
      <c r="B351" s="13" t="inlineStr">
        <is>
          <t>Construcción de cubierta e instalación de ventanas</t>
        </is>
      </c>
      <c r="C351" s="11" t="n">
        <v>0</v>
      </c>
      <c r="D351" s="13" t="inlineStr">
        <is>
          <t>score 0 &lt; 30</t>
        </is>
      </c>
    </row>
    <row r="352">
      <c r="A352" s="11" t="inlineStr">
        <is>
          <t>705290-72-LP26</t>
        </is>
      </c>
      <c r="B352" s="13" t="inlineStr">
        <is>
          <t>CIRUGIA DE CATARATAS CON EQUIPO E INSTRUMENTAL EN COMODATO</t>
        </is>
      </c>
      <c r="C352" s="11" t="n">
        <v>0</v>
      </c>
      <c r="D352" s="13" t="inlineStr">
        <is>
          <t>score 0 &lt; 30</t>
        </is>
      </c>
    </row>
    <row r="353">
      <c r="A353" s="11" t="inlineStr">
        <is>
          <t>712307-22-LR26</t>
        </is>
      </c>
      <c r="B353" s="13" t="inlineStr">
        <is>
          <t>Conservación Parque Pulmahue Padre Las Casas</t>
        </is>
      </c>
      <c r="C353" s="11" t="n">
        <v>5</v>
      </c>
      <c r="D353" s="13" t="inlineStr">
        <is>
          <t>solo mencion de inmueble, sin servicio inmobiliario</t>
        </is>
      </c>
    </row>
    <row r="354">
      <c r="A354" s="11" t="inlineStr">
        <is>
          <t>720-13-LE26</t>
        </is>
      </c>
      <c r="B354" s="13" t="inlineStr">
        <is>
          <t>PACS.C. N°268-2026. CONTRATACIÓN DE PRESTACIÓN DE SERVICIOS PARA REPOSICIÓN Y HABILITACIÓN DE RADIER PARA SALAS DE ADULTO Y EMPAQUE PARA EL CPIE.</t>
        </is>
      </c>
      <c r="C354" s="11" t="n">
        <v>0</v>
      </c>
      <c r="D354" s="13" t="inlineStr">
        <is>
          <t>score 0 &lt; 30</t>
        </is>
      </c>
    </row>
    <row r="355">
      <c r="A355" s="11" t="inlineStr">
        <is>
          <t>720-14-LP26</t>
        </is>
      </c>
      <c r="B355" s="13" t="inlineStr">
        <is>
          <t>NO PAC. C.S. SERV. TRASLADO PERSONAL OF. SAG SECTORIAL ARICA TRAMOS: ARICA-CUYA CUYA-ARICA EMERGENCIA.</t>
        </is>
      </c>
      <c r="C355" s="11" t="n">
        <v>9</v>
      </c>
      <c r="D355" s="13" t="inlineStr">
        <is>
          <t>score 9 &lt; 30</t>
        </is>
      </c>
    </row>
    <row r="356">
      <c r="A356" s="11" t="inlineStr">
        <is>
          <t>722-6-LR26</t>
        </is>
      </c>
      <c r="B356" s="13" t="inlineStr">
        <is>
          <t>SERVICIO ADMINISTRACIÓN INTEGRAL DEL EDIFICIO GORE</t>
        </is>
      </c>
      <c r="C356" s="11" t="n">
        <v>8</v>
      </c>
      <c r="D356" s="13" t="inlineStr">
        <is>
          <t>solo mencion de inmueble, sin servicio inmobiliario</t>
        </is>
      </c>
    </row>
    <row r="357">
      <c r="A357" s="11" t="inlineStr">
        <is>
          <t>740-28-LE26</t>
        </is>
      </c>
      <c r="B357" s="13" t="inlineStr">
        <is>
          <t>PAE EAC HORTALIZAS DE MI CASA - INDAP MAULE</t>
        </is>
      </c>
      <c r="C357" s="11" t="n">
        <v>5</v>
      </c>
      <c r="D357" s="13" t="inlineStr">
        <is>
          <t>solo mencion de inmueble, sin servicio inmobiliario</t>
        </is>
      </c>
    </row>
    <row r="358">
      <c r="A358" s="11" t="inlineStr">
        <is>
          <t>748201-11-LP26</t>
        </is>
      </c>
      <c r="B358" s="13" t="inlineStr">
        <is>
          <t>SUMINISTRO MEDICAMENTOS Y OTROS DE USO OFTALMOLÓGICO AMBULATORIO Y QUIRÚRGICO PARA LAS FARMACIAS DE LOS CENTROS DE SALUD Y REHABILITACIÓN CAPREDENA</t>
        </is>
      </c>
      <c r="C358" s="11" t="n">
        <v>0</v>
      </c>
      <c r="D358" s="13" t="inlineStr">
        <is>
          <t>score 0 &lt; 30</t>
        </is>
      </c>
    </row>
    <row r="359">
      <c r="A359" s="11" t="inlineStr">
        <is>
          <t>752-36-LE26</t>
        </is>
      </c>
      <c r="B359" s="13" t="inlineStr">
        <is>
          <t>Habilitación de bodega y oficina en Edificio Anexo</t>
        </is>
      </c>
      <c r="C359" s="11" t="n">
        <v>16</v>
      </c>
      <c r="D359" s="13" t="inlineStr">
        <is>
          <t>score 16 &lt; 30</t>
        </is>
      </c>
    </row>
    <row r="360">
      <c r="A360" s="11" t="inlineStr">
        <is>
          <t>757-105-LE26</t>
        </is>
      </c>
      <c r="B360" s="13" t="inlineStr">
        <is>
          <t>PNI. HABILITACIÓN CÁMARA DE FRÍO DVI ARICA</t>
        </is>
      </c>
      <c r="C360" s="11" t="n">
        <v>0</v>
      </c>
      <c r="D360" s="13" t="inlineStr">
        <is>
          <t>score 0 &lt; 30</t>
        </is>
      </c>
    </row>
    <row r="361">
      <c r="A361" s="11" t="inlineStr">
        <is>
          <t>761-25-LE26</t>
        </is>
      </c>
      <c r="B361" s="13" t="inlineStr">
        <is>
          <t>ARRIENDO DE DISPENSADORES DE AGUA E10425-2026</t>
        </is>
      </c>
      <c r="C361" s="11" t="n">
        <v>17</v>
      </c>
      <c r="D361" s="13" t="inlineStr">
        <is>
          <t>score 17 &lt; 30</t>
        </is>
      </c>
    </row>
    <row r="362">
      <c r="A362" s="11" t="inlineStr">
        <is>
          <t>761984-27-O126</t>
        </is>
      </c>
      <c r="B362" s="13" t="inlineStr">
        <is>
          <t>SANEAMIENTO PROGRAMA INHABILITACIÓN CERRO CHUÑO ETAPA II, III Y IV, ARICA</t>
        </is>
      </c>
      <c r="C362" s="11" t="n">
        <v>10</v>
      </c>
      <c r="D362" s="13" t="inlineStr">
        <is>
          <t>score 10 &lt; 30</t>
        </is>
      </c>
    </row>
    <row r="363">
      <c r="A363" s="11" t="inlineStr">
        <is>
          <t>764-7-LP26</t>
        </is>
      </c>
      <c r="B363" s="13" t="inlineStr">
        <is>
          <t>Mitigación de Riesgos Envolvente de Edificio</t>
        </is>
      </c>
      <c r="C363" s="11" t="n">
        <v>8</v>
      </c>
      <c r="D363" s="13" t="inlineStr">
        <is>
          <t>solo mencion de inmueble, sin servicio inmobiliario</t>
        </is>
      </c>
    </row>
    <row r="364">
      <c r="A364" s="11" t="inlineStr">
        <is>
          <t>769-101-LP26</t>
        </is>
      </c>
      <c r="B364" s="13" t="inlineStr">
        <is>
          <t>REHABILITACION TIPO II ANTOFAGASTA 2027  PP-120</t>
        </is>
      </c>
      <c r="C364" s="11" t="n">
        <v>0</v>
      </c>
      <c r="D364" s="13" t="inlineStr">
        <is>
          <t>score 0 &lt; 30</t>
        </is>
      </c>
    </row>
    <row r="365">
      <c r="A365" s="11" t="inlineStr">
        <is>
          <t>769-102-LP26</t>
        </is>
      </c>
      <c r="B365" s="13" t="inlineStr">
        <is>
          <t>REHABILITACION TIPO II CALAMA 2027  PP-121</t>
        </is>
      </c>
      <c r="C365" s="11" t="n">
        <v>0</v>
      </c>
      <c r="D365" s="13" t="inlineStr">
        <is>
          <t>score 0 &lt; 30</t>
        </is>
      </c>
    </row>
    <row r="366">
      <c r="A366" s="11" t="inlineStr">
        <is>
          <t>799512-59-LE26</t>
        </is>
      </c>
      <c r="B366" s="13" t="inlineStr">
        <is>
          <t>HABILITACIÓN BOX Y SALA RX DENTAL CLINICA DENTAL</t>
        </is>
      </c>
      <c r="C366" s="11" t="n">
        <v>0</v>
      </c>
      <c r="D366" s="13" t="inlineStr">
        <is>
          <t>score 0 &lt; 30</t>
        </is>
      </c>
    </row>
    <row r="367">
      <c r="A367" s="11" t="inlineStr">
        <is>
          <t>813-105-LR26</t>
        </is>
      </c>
      <c r="B367" s="13" t="inlineStr">
        <is>
          <t>PP 49.2026 Adquisición bajo la modalidad de suministro de material de laboratorio para el Departamento Nacional de Referencia de Salud Ambiental E102RT9.</t>
        </is>
      </c>
      <c r="C367" s="11" t="n">
        <v>5</v>
      </c>
      <c r="D367" s="13" t="inlineStr">
        <is>
          <t>solo mencion de inmueble, sin servicio inmobiliario</t>
        </is>
      </c>
    </row>
    <row r="368">
      <c r="A368" s="11" t="inlineStr">
        <is>
          <t>820-3-O126</t>
        </is>
      </c>
      <c r="B368" s="13" t="inlineStr">
        <is>
          <t>RESTAURACIÓN Y HABILITACIÓN BIBLIOTECA MUNICIPAL EX ESCUELA 3, HUASCO</t>
        </is>
      </c>
      <c r="C368" s="11" t="n">
        <v>0</v>
      </c>
      <c r="D368" s="13" t="inlineStr">
        <is>
          <t>score 0 &lt; 30</t>
        </is>
      </c>
    </row>
    <row r="369">
      <c r="A369" s="11" t="inlineStr">
        <is>
          <t>825-9-O126</t>
        </is>
      </c>
      <c r="B369" s="13" t="inlineStr">
        <is>
          <t>OBRAS RESG INIC CASA MAQ MON HIST PLANTA HIDRO CHIVILINGO 4o LLAMADO</t>
        </is>
      </c>
      <c r="C369" s="11" t="n">
        <v>5</v>
      </c>
      <c r="D369" s="13" t="inlineStr">
        <is>
          <t>solo mencion de inmueble, sin servicio inmobiliario</t>
        </is>
      </c>
    </row>
    <row r="370">
      <c r="A370" s="11" t="inlineStr">
        <is>
          <t>847-60-LR26</t>
        </is>
      </c>
      <c r="B370" s="13" t="inlineStr">
        <is>
          <t xml:space="preserve">CHEE_SERVICIO DE MANTENCIÓN Y REPARACIÓN DE JARDINES INFANTILES OFICINAS BODEGAS Y TERRENOS JUNJI VALPARAÍSO_SC 61216 </t>
        </is>
      </c>
      <c r="C370" s="11" t="n">
        <v>13</v>
      </c>
      <c r="D370" s="13" t="inlineStr">
        <is>
          <t>score 13 &lt; 30</t>
        </is>
      </c>
    </row>
    <row r="371">
      <c r="A371" s="11" t="inlineStr">
        <is>
          <t>855-18-LR26</t>
        </is>
      </c>
      <c r="B371" s="13" t="inlineStr">
        <is>
          <t xml:space="preserve">CHEE-SUMINISTRO MANTENCION Y REPARACION DEPENDENCIAS JUNJI XII </t>
        </is>
      </c>
      <c r="C371" s="11" t="n">
        <v>8</v>
      </c>
      <c r="D371" s="13" t="inlineStr">
        <is>
          <t>solo mencion de inmueble, sin servicio inmobiliario</t>
        </is>
      </c>
    </row>
    <row r="372">
      <c r="A372" s="11" t="inlineStr">
        <is>
          <t>867990-123-L126</t>
        </is>
      </c>
      <c r="B372" s="13" t="inlineStr">
        <is>
          <t>CDP 94031 CC 102 - HABILITACIÓN SALA DE ARQUITECTURA</t>
        </is>
      </c>
      <c r="C372" s="11" t="n">
        <v>0</v>
      </c>
      <c r="D372" s="13" t="inlineStr">
        <is>
          <t>score 0 &lt; 30</t>
        </is>
      </c>
    </row>
    <row r="373">
      <c r="A373" s="11" t="inlineStr">
        <is>
          <t>867990-128-L126</t>
        </is>
      </c>
      <c r="B373" s="13" t="inlineStr">
        <is>
          <t>Servicio de habilitación de oficinas de Educación Continua.</t>
        </is>
      </c>
      <c r="C373" s="11" t="n">
        <v>16</v>
      </c>
      <c r="D373" s="13" t="inlineStr">
        <is>
          <t>score 16 &lt; 30</t>
        </is>
      </c>
    </row>
    <row r="374">
      <c r="A374" s="11" t="inlineStr">
        <is>
          <t>885-105-LE26</t>
        </is>
      </c>
      <c r="B374" s="13" t="inlineStr">
        <is>
          <t>Estudio de mecánica de suelos para terreno de la Contraloría Regional de Atacama</t>
        </is>
      </c>
      <c r="C374" s="11" t="n">
        <v>9</v>
      </c>
      <c r="D374" s="13" t="inlineStr">
        <is>
          <t>solo mencion de inmueble, sin servicio inmobiliario</t>
        </is>
      </c>
    </row>
    <row r="375">
      <c r="A375" s="11" t="inlineStr">
        <is>
          <t>886954-330-LP26</t>
        </is>
      </c>
      <c r="B375" s="13" t="inlineStr">
        <is>
          <t>Convenio bienal en consignación de kits de colangioscopio con equipo en comodato para la Unidad de Neurovascular del HGGB</t>
        </is>
      </c>
      <c r="C375" s="11" t="n">
        <v>0</v>
      </c>
      <c r="D375" s="13" t="inlineStr">
        <is>
          <t>score 0 &lt; 30</t>
        </is>
      </c>
    </row>
    <row r="376">
      <c r="A376" s="11" t="inlineStr">
        <is>
          <t>889473-63-LP26</t>
        </is>
      </c>
      <c r="B376" s="13" t="inlineStr">
        <is>
          <t>SC 8919 - Habilitación de baños y camarines UOH</t>
        </is>
      </c>
      <c r="C376" s="11" t="n">
        <v>6</v>
      </c>
      <c r="D376" s="13" t="inlineStr">
        <is>
          <t>score 6 &lt; 30</t>
        </is>
      </c>
    </row>
    <row r="377">
      <c r="A377" s="11" t="inlineStr">
        <is>
          <t>932-36-LE26</t>
        </is>
      </c>
      <c r="B377" s="13" t="inlineStr">
        <is>
          <t>SERVICIO DE MANTENCIÓN PREVENTIVA Y CORRECTIVA DE MAQUINAS DE EJERCICIOS CARDIOVASCULARES Y DE MUSCULACIÓN MULTIMARCAS RECINTOS DEPORTIVOS HERMOGENES LIZANA DEL INSTITUTO NACIONAL DE DEPORTES DE CHILE REGION DEL LIBERTADOR GENERAL BERNARDO OHIGGINS</t>
        </is>
      </c>
      <c r="C377" s="11" t="n">
        <v>5</v>
      </c>
      <c r="D377" s="13" t="inlineStr">
        <is>
          <t>solo mencion de inmueble, sin servicio inmobiliario</t>
        </is>
      </c>
    </row>
    <row r="378">
      <c r="A378" s="11" t="inlineStr">
        <is>
          <t>935-30-LP26</t>
        </is>
      </c>
      <c r="B378" s="13" t="inlineStr">
        <is>
          <t>SERV. OBRAS MENORES RECINTOS IND XII REGION</t>
        </is>
      </c>
      <c r="C378" s="11" t="n">
        <v>5</v>
      </c>
      <c r="D378" s="13" t="inlineStr">
        <is>
          <t>solo mencion de inmueble, sin servicio inmobiliario</t>
        </is>
      </c>
    </row>
    <row r="379">
      <c r="A379" s="11" t="inlineStr">
        <is>
          <t>937232-95-LE26</t>
        </is>
      </c>
      <c r="B379" s="13" t="inlineStr">
        <is>
          <t>SERVICIO ARRIENDO DE CAMILLAS DE TRASNPORTE HIDRAULICAS POR 24 MESES</t>
        </is>
      </c>
      <c r="C379" s="11" t="n">
        <v>0</v>
      </c>
      <c r="D379" s="13" t="inlineStr">
        <is>
          <t>score 0 &lt; 30</t>
        </is>
      </c>
    </row>
    <row r="380">
      <c r="A380" s="11" t="inlineStr">
        <is>
          <t>948354-157-LP26</t>
        </is>
      </c>
      <c r="B380" s="13" t="inlineStr">
        <is>
          <t>CONTRATACIÓN DEL SERVICIO DE ARRIENDO DE UNA CABINA SANITARIA CON EQUIPO MAMÓGRAFO PARA USO DE MAMOGRAFÍA DIGITALIZADA PORTÁTIL PARA EL HOSPITAL DIPRECA</t>
        </is>
      </c>
      <c r="C380" s="11" t="n">
        <v>0</v>
      </c>
      <c r="D380" s="13" t="inlineStr">
        <is>
          <t>score 0 &lt; 30</t>
        </is>
      </c>
    </row>
    <row r="381">
      <c r="A381" s="11" t="inlineStr">
        <is>
          <t>966539-30-LE26</t>
        </is>
      </c>
      <c r="B381" s="13" t="inlineStr">
        <is>
          <t xml:space="preserve">MEJORAMIENTO RECINTO EX INTERNADO MUNICIPAL DE MARCHIGUE </t>
        </is>
      </c>
      <c r="C381" s="11" t="n">
        <v>5</v>
      </c>
      <c r="D381" s="13" t="inlineStr">
        <is>
          <t>solo mencion de inmueble, sin servicio inmobiliario</t>
        </is>
      </c>
    </row>
    <row r="382">
      <c r="A382" s="11" t="inlineStr">
        <is>
          <t>980-5-LE26</t>
        </is>
      </c>
      <c r="B382" s="13" t="inlineStr">
        <is>
          <t>MEJORAMIENTO DEPENDENCIAS D.G.O.P</t>
        </is>
      </c>
      <c r="C382" s="11" t="n">
        <v>8</v>
      </c>
      <c r="D382" s="13" t="inlineStr">
        <is>
          <t>solo mencion de inmueble, sin servicio inmobiliario</t>
        </is>
      </c>
    </row>
    <row r="383">
      <c r="A383" s="11" t="inlineStr">
        <is>
          <t>985737-18-LE26</t>
        </is>
      </c>
      <c r="B383" s="13" t="inlineStr">
        <is>
          <t>HABILITACIÓN DE OFICINA EQUIDAD DE GÉNERO CRM22101</t>
        </is>
      </c>
      <c r="C383" s="11" t="n">
        <v>13</v>
      </c>
      <c r="D383" s="13" t="inlineStr">
        <is>
          <t>score 13 &lt; 30</t>
        </is>
      </c>
    </row>
    <row r="384">
      <c r="A384" s="11" t="inlineStr">
        <is>
          <t>993-59-LE26</t>
        </is>
      </c>
      <c r="B384" s="13" t="inlineStr">
        <is>
          <t>Servicio de pintura de fachada recinto fiscal</t>
        </is>
      </c>
      <c r="C384" s="11" t="n">
        <v>5</v>
      </c>
      <c r="D384" s="13" t="inlineStr">
        <is>
          <t>solo mencion de inmueble, sin servicio inmobiliario</t>
        </is>
      </c>
    </row>
    <row r="385">
      <c r="A385" s="11" t="inlineStr">
        <is>
          <t>994-39-LE26</t>
        </is>
      </c>
      <c r="B385" s="13" t="inlineStr">
        <is>
          <t>SERVICIO DE MEJORAMIENTO DE AMBIENTES LABORALES BODEGA REGIONAL</t>
        </is>
      </c>
      <c r="C385" s="11" t="n">
        <v>7</v>
      </c>
      <c r="D385" s="13" t="inlineStr">
        <is>
          <t>solo mencion de inmueble, sin servicio inmobiliario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2026-10-28T21:22:56Z</dcterms:created>
  <dcterms:modified xsi:type="dcterms:W3CDTF">2026-10-28T21:22:56Z</dcterms:modified>
</cp:coreProperties>
</file>