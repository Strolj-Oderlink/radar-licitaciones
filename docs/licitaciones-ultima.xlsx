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359-13-LP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5358-9-LR26" TargetMode="External" Id="rId3" /><Relationship Type="http://schemas.openxmlformats.org/officeDocument/2006/relationships/hyperlink" Target="https://www.mercadopublico.cl/Procurement/Modules/RFB/DetailsAcquisition.aspx?idlicitacion=1063538-206-I226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2026-09-02 19:32 · UF 40,876.41 · 4,526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COUNTA(Matches!P2:P5)</f>
        <v/>
      </c>
    </row>
    <row r="6">
      <c r="A6" s="4" t="inlineStr">
        <is>
          <t>NUEVAS esta corrida</t>
        </is>
      </c>
      <c r="B6" s="5">
        <f>COUNTIF(Matches!A2:A5,"SI")</f>
        <v/>
      </c>
    </row>
    <row r="7">
      <c r="A7" s="4" t="inlineStr">
        <is>
          <t>Con cambios</t>
        </is>
      </c>
      <c r="B7" s="5">
        <f>COUNTIF(Matches!B2:B5,"CAMBIO*")</f>
        <v/>
      </c>
    </row>
    <row r="8">
      <c r="A8" s="4" t="inlineStr">
        <is>
          <t>Prioridad ALTA</t>
        </is>
      </c>
      <c r="B8" s="5">
        <f>COUNTIF(Matches!C2:C5,"ALTA")</f>
        <v/>
      </c>
    </row>
    <row r="9">
      <c r="A9" s="4" t="inlineStr">
        <is>
          <t>Mandatos de servicio</t>
        </is>
      </c>
      <c r="B9" s="5">
        <f>COUNTIF(Matches!E2:E5,"Mandato de SERVICIO")</f>
        <v/>
      </c>
    </row>
    <row r="10">
      <c r="A10" s="4" t="inlineStr">
        <is>
          <t>Estado busca inmueble</t>
        </is>
      </c>
      <c r="B10" s="5">
        <f>COUNTIF(Matches!E2:E5,"Estado BUSCA inmueble")</f>
        <v/>
      </c>
    </row>
    <row r="11">
      <c r="A11" s="4" t="inlineStr">
        <is>
          <t>Estado ofrece inmueble</t>
        </is>
      </c>
      <c r="B11" s="5">
        <f>COUNTIF(Matches!E2:E5,"Estado OFRECE inmueble")</f>
        <v/>
      </c>
    </row>
    <row r="12">
      <c r="A12" s="4" t="inlineStr">
        <is>
          <t>Sugeridas a Gamma</t>
        </is>
      </c>
      <c r="B12" s="5">
        <f>COUNTIF(Matches!G2:G5,"Gamma")</f>
        <v/>
      </c>
    </row>
    <row r="13">
      <c r="A13" s="4" t="inlineStr">
        <is>
          <t>Sugeridas a Realsa Brokers</t>
        </is>
      </c>
      <c r="B13" s="5">
        <f>COUNTIF(Matches!G2:G5,"Realsa Brokers")</f>
        <v/>
      </c>
    </row>
    <row r="14">
      <c r="A14" s="4" t="inlineStr">
        <is>
          <t>Cierran en &lt;= 7 dias</t>
        </is>
      </c>
      <c r="B14" s="5">
        <f>COUNTIFS(Matches!N2:N5,"&lt;=7",Matches!N2:N5,"&gt;=0")</f>
        <v/>
      </c>
    </row>
    <row r="15">
      <c r="A15" s="4" t="inlineStr">
        <is>
          <t>Monto UF agregado (publicado)</t>
        </is>
      </c>
      <c r="B15" s="5">
        <f>SUM(Matches!M2:M5)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66</v>
      </c>
      <c r="E2" s="11" t="inlineStr">
        <is>
          <t>Estado BUSCA inmueble</t>
        </is>
      </c>
      <c r="F2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2" s="11" t="inlineStr">
        <is>
          <t>Gamma</t>
        </is>
      </c>
      <c r="H2" s="13" t="inlineStr">
        <is>
          <t>ARRIENDO DE INMUEBLES 2026-2028</t>
        </is>
      </c>
      <c r="I2" s="13" t="inlineStr">
        <is>
          <t>I MUNICIPALIDAD DE TALCAHUANO</t>
        </is>
      </c>
      <c r="J2" s="11" t="inlineStr">
        <is>
          <t>Región del Biobío</t>
        </is>
      </c>
      <c r="K2" s="11" t="inlineStr">
        <is>
          <t>LP</t>
        </is>
      </c>
      <c r="L2" s="11" t="inlineStr">
        <is>
          <t>no publicado</t>
        </is>
      </c>
      <c r="M2" s="11" t="n"/>
      <c r="N2" s="11" t="n">
        <v>15</v>
      </c>
      <c r="O2" s="11" t="inlineStr">
        <is>
          <t>2026-09-08 15:30</t>
        </is>
      </c>
      <c r="P2" s="11" t="inlineStr">
        <is>
          <t>2359-13-LP26</t>
        </is>
      </c>
      <c r="Q2" s="13" t="inlineStr">
        <is>
          <t>objeto/titulo: inmueble (+14) | transaccion: arriendo (+12) | UNSPSC 80131500 (+40)</t>
        </is>
      </c>
      <c r="R2" s="13" t="inlineStr">
        <is>
          <t>exige/pondera experiencia acreditable o es licitacion mayor</t>
        </is>
      </c>
      <c r="S2" s="13" t="inlineStr">
        <is>
          <t>La Municipalidad de Talcahuano, llama a Propuesta Pública para el ARRIENDO DE INMUEBLES PARA LA MUNICIPALIDAD DE TALCAHUANO 2026-2028, por el sistema a suma alzada, exento de impuestos, sin intereses ni reajustes, financiada con Fondos Municipales.    La presente licitación se regirá por las presentes Bases Administrativas, Términos de Referencia y demás antecedentes que la componen.</t>
        </is>
      </c>
      <c r="T2" s="11" t="inlineStr">
        <is>
          <t>Victor Sandoval Arias</t>
        </is>
      </c>
      <c r="U2" s="11" t="inlineStr"/>
      <c r="V2" s="14" t="inlineStr">
        <is>
          <t>Ver ficha</t>
        </is>
      </c>
    </row>
    <row r="3" ht="46" customHeight="1">
      <c r="A3" s="10" t="inlineStr">
        <is>
          <t>NO</t>
        </is>
      </c>
      <c r="B3" s="11" t="inlineStr">
        <is>
          <t>VIGENTE</t>
        </is>
      </c>
      <c r="C3" s="12" t="inlineStr">
        <is>
          <t>ALTA</t>
        </is>
      </c>
      <c r="D3" s="11" t="n">
        <v>55</v>
      </c>
      <c r="E3" s="11" t="inlineStr">
        <is>
          <t>Estado OFRECE inmueble</t>
        </is>
      </c>
      <c r="F3" s="13" t="inlineStr">
        <is>
          <t>El organismo vende o concesiona un activo: oportunidad de representar comprador/operador o de asesorar el proceso. Revisar bases y valor minimo.</t>
        </is>
      </c>
      <c r="G3" s="11" t="inlineStr">
        <is>
          <t>Gamma</t>
        </is>
      </c>
      <c r="H3" s="13" t="inlineStr">
        <is>
          <t>VENTA DE TERRENOS DE PROPIEDAD MUNICIPAL LA SERENA</t>
        </is>
      </c>
      <c r="I3" s="13" t="inlineStr">
        <is>
          <t>ILUSTRE MUNICIPALIDAD DE LA SERENA</t>
        </is>
      </c>
      <c r="J3" s="11" t="inlineStr">
        <is>
          <t>Región de Coquimbo</t>
        </is>
      </c>
      <c r="K3" s="11" t="inlineStr">
        <is>
          <t>LR</t>
        </is>
      </c>
      <c r="L3" s="11" t="inlineStr">
        <is>
          <t>no publicado</t>
        </is>
      </c>
      <c r="M3" s="11" t="n"/>
      <c r="N3" s="11" t="n">
        <v>51</v>
      </c>
      <c r="O3" s="11" t="inlineStr">
        <is>
          <t>2026-10-14 15:00</t>
        </is>
      </c>
      <c r="P3" s="11" t="inlineStr">
        <is>
          <t>4295-54-LR26</t>
        </is>
      </c>
      <c r="Q3" s="13" t="inlineStr">
        <is>
          <t>objeto/titulo: terreno (+9) | transaccion: venta (+6) | UNSPSC 80131600 (+40)</t>
        </is>
      </c>
      <c r="R3" s="13" t="inlineStr">
        <is>
          <t>exige/pondera experiencia acreditable o es licitacion mayor</t>
        </is>
      </c>
      <c r="S3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1" t="inlineStr">
        <is>
          <t>Dirección de Administración y Finanzas</t>
        </is>
      </c>
      <c r="U3" s="11" t="inlineStr"/>
      <c r="V3" s="14" t="inlineStr">
        <is>
          <t>Ver ficha</t>
        </is>
      </c>
    </row>
    <row r="4" ht="46" customHeight="1">
      <c r="A4" s="15" t="inlineStr">
        <is>
          <t>NO</t>
        </is>
      </c>
      <c r="B4" s="16" t="inlineStr">
        <is>
          <t>CAMBIO: monto UF 122336.0-&gt;122320.0</t>
        </is>
      </c>
      <c r="C4" s="17" t="inlineStr">
        <is>
          <t>MEDIA</t>
        </is>
      </c>
      <c r="D4" s="18" t="n">
        <v>49</v>
      </c>
      <c r="E4" s="18" t="inlineStr">
        <is>
          <t>Estado OFRECE inmueble</t>
        </is>
      </c>
      <c r="F4" s="19" t="inlineStr">
        <is>
          <t>El organismo vende o concesiona un activo: oportunidad de representar comprador/operador o de asesorar el proceso. Revisar bases y valor minimo.</t>
        </is>
      </c>
      <c r="G4" s="18" t="inlineStr">
        <is>
          <t>Gamma</t>
        </is>
      </c>
      <c r="H4" s="19" t="inlineStr">
        <is>
          <t>ADQUISICIÓN DE TERRENO PARA PROYECTO EDUCACIONAL U</t>
        </is>
      </c>
      <c r="I4" s="19" t="inlineStr">
        <is>
          <t>UNIVERSIDAD DE TARAPACA</t>
        </is>
      </c>
      <c r="J4" s="18" t="inlineStr">
        <is>
          <t>Región de Tarapacá</t>
        </is>
      </c>
      <c r="K4" s="18" t="inlineStr">
        <is>
          <t>LR</t>
        </is>
      </c>
      <c r="L4" s="18" t="inlineStr">
        <is>
          <t>CLP 5,000,000,000</t>
        </is>
      </c>
      <c r="M4" s="20" t="n">
        <v>122320</v>
      </c>
      <c r="N4" s="18" t="n">
        <v>53</v>
      </c>
      <c r="O4" s="18" t="inlineStr">
        <is>
          <t>2026-10-16 15:01</t>
        </is>
      </c>
      <c r="P4" s="18" t="inlineStr">
        <is>
          <t>5358-9-LR26</t>
        </is>
      </c>
      <c r="Q4" s="19" t="inlineStr">
        <is>
          <t>objeto/titulo: terreno (+9) | UNSPSC 80131600 (+40)</t>
        </is>
      </c>
      <c r="R4" s="19" t="inlineStr">
        <is>
          <t>exige/pondera experiencia acreditable o es licitacion mayor</t>
        </is>
      </c>
      <c r="S4" s="19" t="inlineStr">
        <is>
          <t>Lo indicado en Bases de la Licitación, aprobadas mediante Decreto N°21/2026 Adjunto.</t>
        </is>
      </c>
      <c r="T4" s="18" t="inlineStr">
        <is>
          <t>Jorge Bernal Peralta</t>
        </is>
      </c>
      <c r="U4" s="18" t="inlineStr"/>
      <c r="V4" s="21" t="inlineStr">
        <is>
          <t>Ver ficha</t>
        </is>
      </c>
    </row>
    <row r="5" ht="46" customHeight="1">
      <c r="A5" s="10" t="inlineStr">
        <is>
          <t>NO</t>
        </is>
      </c>
      <c r="B5" s="11" t="inlineStr">
        <is>
          <t>VIGENTE</t>
        </is>
      </c>
      <c r="C5" s="22" t="inlineStr">
        <is>
          <t>MEDIA</t>
        </is>
      </c>
      <c r="D5" s="11" t="n">
        <v>40</v>
      </c>
      <c r="E5" s="11" t="inlineStr">
        <is>
          <t>Estado BUSCA inmueble</t>
        </is>
      </c>
      <c r="F5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5" s="11" t="inlineStr">
        <is>
          <t>Realsa Brokers</t>
        </is>
      </c>
      <c r="H5" s="13" t="inlineStr">
        <is>
          <t>“ARRIENDO DE CELDAS DE MEDIA TENSION MT”</t>
        </is>
      </c>
      <c r="I5" s="13" t="inlineStr">
        <is>
          <t>HOSPITAL BASE OSORNO</t>
        </is>
      </c>
      <c r="J5" s="11" t="inlineStr">
        <is>
          <t>Región de los Lagos</t>
        </is>
      </c>
      <c r="K5" s="11" t="inlineStr">
        <is>
          <t>I2</t>
        </is>
      </c>
      <c r="L5" s="11" t="inlineStr">
        <is>
          <t>no publicado</t>
        </is>
      </c>
      <c r="M5" s="11" t="n"/>
      <c r="N5" s="11" t="n">
        <v>30</v>
      </c>
      <c r="O5" s="11" t="inlineStr">
        <is>
          <t>2026-09-28 17:00</t>
        </is>
      </c>
      <c r="P5" s="11" t="inlineStr">
        <is>
          <t>1063538-206-I226</t>
        </is>
      </c>
      <c r="Q5" s="13" t="inlineStr">
        <is>
          <t>UNSPSC 80131500 (+40)</t>
        </is>
      </c>
      <c r="R5" s="13" t="inlineStr">
        <is>
          <t>proceso menor o sin ponderacion fuerte de experiencia</t>
        </is>
      </c>
      <c r="S5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5" s="11" t="inlineStr">
        <is>
          <t>Yasna Albarran</t>
        </is>
      </c>
      <c r="U5" s="11" t="inlineStr"/>
      <c r="V5" s="14" t="inlineStr">
        <is>
          <t>Ver ficha</t>
        </is>
      </c>
    </row>
  </sheetData>
  <autoFilter ref="A1:V5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  <hyperlink xmlns:r="http://schemas.openxmlformats.org/officeDocument/2006/relationships" ref="V5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2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2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2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2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2026-09-02</t>
        </is>
      </c>
      <c r="J6" s="11" t="n">
        <v>2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2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2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2026-09-02</t>
        </is>
      </c>
      <c r="J9" s="11" t="n">
        <v>2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122320</v>
      </c>
      <c r="H10" s="11" t="inlineStr">
        <is>
          <t>2026-08-25</t>
        </is>
      </c>
      <c r="I10" s="11" t="inlineStr">
        <is>
          <t>2026-09-02</t>
        </is>
      </c>
      <c r="J10" s="11" t="n">
        <v>2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2026-09-02</t>
        </is>
      </c>
      <c r="J11" s="11" t="n">
        <v>1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/>
    <row r="3">
      <c r="A3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1039-8-LP26</t>
        </is>
      </c>
      <c r="B3" s="13" t="inlineStr">
        <is>
          <t>SERVICIO DE ARRIENDO DE TRANSPORTE TERRESTRE</t>
        </is>
      </c>
      <c r="C3" s="11" t="n">
        <v>14</v>
      </c>
      <c r="D3" s="13" t="inlineStr">
        <is>
          <t>score 14 &lt; 30</t>
        </is>
      </c>
    </row>
    <row r="4">
      <c r="A4" s="11" t="inlineStr">
        <is>
          <t>1051173-11-LE26</t>
        </is>
      </c>
      <c r="B4" s="13" t="inlineStr">
        <is>
          <t>SERVICIO DE MANTENCIÓN DE DEPENDENCIAS</t>
        </is>
      </c>
      <c r="C4" s="11" t="n">
        <v>8</v>
      </c>
      <c r="D4" s="13" t="inlineStr">
        <is>
          <t>solo mencion de inmueble, sin servicio inmobiliario</t>
        </is>
      </c>
    </row>
    <row r="5">
      <c r="A5" s="11" t="inlineStr">
        <is>
          <t>1052836-6-LE26</t>
        </is>
      </c>
      <c r="B5" s="13" t="inlineStr">
        <is>
          <t>SERVICIO DE REHABILITACIÓN DE PUENTE EL DURAZNO</t>
        </is>
      </c>
      <c r="C5" s="11" t="n">
        <v>0</v>
      </c>
      <c r="D5" s="13" t="inlineStr">
        <is>
          <t>score 0 &lt; 30</t>
        </is>
      </c>
    </row>
    <row r="6">
      <c r="A6" s="11" t="inlineStr">
        <is>
          <t>1057049-273-LR26</t>
        </is>
      </c>
      <c r="B6" s="13" t="inlineStr">
        <is>
          <t>SHV SUMINISTRO DE REACTIVOS DE INMUNOHEMATOLOGIA CON EQUIPO EN COMODATO BANCO DE SANGRE</t>
        </is>
      </c>
      <c r="C6" s="11" t="n">
        <v>0</v>
      </c>
      <c r="D6" s="13" t="inlineStr">
        <is>
          <t>score 0 &lt; 30</t>
        </is>
      </c>
    </row>
    <row r="7">
      <c r="A7" s="11" t="inlineStr">
        <is>
          <t>1057049-285-LR26</t>
        </is>
      </c>
      <c r="B7" s="13" t="inlineStr">
        <is>
          <t>SHV SUMINISTRO DE REACTIVOS PARA EXAMEN DE ORINA CON COMODATO DE EQUIPOS LABORATORIO CENTRAL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1057049-296-LR26</t>
        </is>
      </c>
      <c r="B8" s="13" t="inlineStr">
        <is>
          <t>JCD VALVULA BIOLOGICA CON COMODATO</t>
        </is>
      </c>
      <c r="C8" s="11" t="n">
        <v>0</v>
      </c>
      <c r="D8" s="13" t="inlineStr">
        <is>
          <t>score 0 &lt; 30</t>
        </is>
      </c>
    </row>
    <row r="9">
      <c r="A9" s="11" t="inlineStr">
        <is>
          <t>1057049-321-LE26</t>
        </is>
      </c>
      <c r="B9" s="13" t="inlineStr">
        <is>
          <t>ICC. Servicio de Mantenimiento y Reparación de Aluminios del Hospital Clínico San Borja Arriarán y Sus Comodatos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1057049-322-I226</t>
        </is>
      </c>
      <c r="B10" s="13" t="inlineStr">
        <is>
          <t>SHV SUMINISTRO DE REACTIVOS PARA BIOLOGIA MOLECULAR CON COMODATO DE EQUIPOS LABORATORIO CENTRAL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1057055-68-LP26</t>
        </is>
      </c>
      <c r="B11" s="13" t="inlineStr">
        <is>
          <t>GSP SUMINISTRO DE MEDICAMENTOS PROPOFOL CON EQUIPOS EN COMODATO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1057402-144-LP26</t>
        </is>
      </c>
      <c r="B12" s="13" t="inlineStr">
        <is>
          <t>Contratación de Servicio de Arriendo de Bodegaje Externo para el Hospital Clínico de Magallanes</t>
        </is>
      </c>
      <c r="C12" s="11" t="n">
        <v>19</v>
      </c>
      <c r="D12" s="13" t="inlineStr">
        <is>
          <t>score 19 &lt; 30</t>
        </is>
      </c>
    </row>
    <row r="13">
      <c r="A13" s="11" t="inlineStr">
        <is>
          <t>1057404-82-LE26</t>
        </is>
      </c>
      <c r="B13" s="13" t="inlineStr">
        <is>
          <t xml:space="preserve">2do Llamado ARRIENDO TORRE ENDOSCOPICA OTORRINO  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1057417-183-LP26</t>
        </is>
      </c>
      <c r="B14" s="13" t="inlineStr">
        <is>
          <t>pmt CONVENIO DE TRASLADO DE FÁRMACOS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1057417-51-LP26</t>
        </is>
      </c>
      <c r="B15" s="13" t="inlineStr">
        <is>
          <t>CONVENIO DE SUMINISTRO DE FRESAS UN SOLO USO CON MOTOR DE NEURO  OTOLOGICO EN COMODATO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1057420-37-LP26</t>
        </is>
      </c>
      <c r="B16" s="13" t="inlineStr">
        <is>
          <t>CONVENIO DE SUMINISTRO PARA EL SERVICIO DE TRASLADO DE FUNCIONARIOS EN ACTIVIDADES DOMICILIARIAS Y TERRENO DEL HOSPITAL DE LA FAMILIA Y LA COMUNIDAD DE HUÉPIL POR EL PERIODO DE 24 MESES 3ER LLAMADO</t>
        </is>
      </c>
      <c r="C16" s="11" t="n">
        <v>13</v>
      </c>
      <c r="D16" s="13" t="inlineStr">
        <is>
          <t>score 13 &lt; 30</t>
        </is>
      </c>
    </row>
    <row r="17">
      <c r="A17" s="11" t="inlineStr">
        <is>
          <t>1057472-92-LP26</t>
        </is>
      </c>
      <c r="B17" s="13" t="inlineStr">
        <is>
          <t>ARRIENDO CASILLEROS INTELIGENTES PARA FARMACIA AMB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1057480-46-LR26</t>
        </is>
      </c>
      <c r="B18" s="13" t="inlineStr">
        <is>
          <t xml:space="preserve">Adquisición de Servicio externo de traslado de pacientes para El Hospital San José de Melipilla 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1057489-255-LE26</t>
        </is>
      </c>
      <c r="B19" s="13" t="inlineStr">
        <is>
          <t>Funcionamiento y Habilitación de nueva Bodega</t>
        </is>
      </c>
      <c r="C19" s="11" t="n">
        <v>13</v>
      </c>
      <c r="D19" s="13" t="inlineStr">
        <is>
          <t>score 13 &lt; 30</t>
        </is>
      </c>
    </row>
    <row r="20">
      <c r="A20" s="11" t="inlineStr">
        <is>
          <t>1057490-50-LR26</t>
        </is>
      </c>
      <c r="B20" s="13" t="inlineStr">
        <is>
          <t>Arriendo Lavado y Administración de Ropa.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1057490-57-LP26</t>
        </is>
      </c>
      <c r="B21" s="13" t="inlineStr">
        <is>
          <t>SERVICIO DE ARRIENDO DE EQUIPO DE NEUROMONITOREO I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1057490-65-LE26</t>
        </is>
      </c>
      <c r="B22" s="13" t="inlineStr">
        <is>
          <t>SUMINISTRO DE REACTIVOS PARA EL ANÁLISIS DE HORMONAS CON ARRIENDO DE EQUIPO PARA EL SERVICIO DE LABORATORIO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1057492-111-LP26</t>
        </is>
      </c>
      <c r="B23" s="13" t="inlineStr">
        <is>
          <t>ARRIENDO CAJAS DE INSTRUMENTAL QX PARA UROLOGÍA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1057501-435-LR26</t>
        </is>
      </c>
      <c r="B24" s="13" t="inlineStr">
        <is>
          <t>ARRIENDO DE ARCO C Y EQUIPO RAYO PORTÁTIL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1057501-477-LP26</t>
        </is>
      </c>
      <c r="B25" s="13" t="inlineStr">
        <is>
          <t>Convenio reactivos para exámenes de inmunología serología infecciona y Autoinmunidad con equipos en comodato por 24 meses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1057501-488-LE26</t>
        </is>
      </c>
      <c r="B26" s="13" t="inlineStr">
        <is>
          <t>ARRIENDO MODULOS BODEGA PARA INFORMÁTICA HSR</t>
        </is>
      </c>
      <c r="C26" s="11" t="n">
        <v>19</v>
      </c>
      <c r="D26" s="13" t="inlineStr">
        <is>
          <t>score 19 &lt; 30</t>
        </is>
      </c>
    </row>
    <row r="27">
      <c r="A27" s="11" t="inlineStr">
        <is>
          <t>1057501-493-LP26</t>
        </is>
      </c>
      <c r="B27" s="13" t="inlineStr">
        <is>
          <t>ARRIENDO DE MÁQUINA DE ANESTESIA HSR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1057503-125-LE26</t>
        </is>
      </c>
      <c r="B28" s="13" t="inlineStr">
        <is>
          <t>Contratación del Servicio de Arriendo de Litotriptor y Nefroscopio para el Hospital Padre Alberto Hurtado</t>
        </is>
      </c>
      <c r="C28" s="11" t="n">
        <v>0</v>
      </c>
      <c r="D28" s="13" t="inlineStr">
        <is>
          <t>score 0 &lt; 30</t>
        </is>
      </c>
    </row>
    <row r="29">
      <c r="A29" s="11" t="inlineStr">
        <is>
          <t>1057539-118-LP26</t>
        </is>
      </c>
      <c r="B29" s="13" t="inlineStr">
        <is>
          <t>ARRIENDO DE DOS TORRES DE LAPAROSCOPIA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1057544-293-LE26</t>
        </is>
      </c>
      <c r="B30" s="13" t="inlineStr">
        <is>
          <t>Servicio de Arriendo de Dosímetros Análisis y Emisión de Informes Trimestrales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1057547-350-LR26</t>
        </is>
      </c>
      <c r="B31" s="13" t="inlineStr">
        <is>
          <t>ADQUISICION PROTESIS CADERAS CON COMODATO INSTRUMENTAL QUIRURGICO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1057547-354-LP26</t>
        </is>
      </c>
      <c r="B32" s="13" t="inlineStr">
        <is>
          <t>ARRIENDO 1 TORRE LAPAROSCOPIA CON OPTICA DE 0 Y 30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1057736-6-L126</t>
        </is>
      </c>
      <c r="B33" s="13" t="inlineStr">
        <is>
          <t>SERVICIO DE TRANSPORTE Y TRASLADO DE PASAJEROS PARA LA UNIDAD DE BIENESTAR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1057922-22-LP26</t>
        </is>
      </c>
      <c r="B34" s="13" t="inlineStr">
        <is>
          <t>ADQUISICIÓN EQUIPAMIENTO MÉDICO PARA HABILITACIÓN DE CESFAM CON SAR RAHUE ALTO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1070620-86-LP26</t>
        </is>
      </c>
      <c r="B35" s="13" t="inlineStr">
        <is>
          <t>PZM-SUM.RF PARA ARTROSCOPIA CON EQUIPO EN COMODATO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1075963-309-LP26</t>
        </is>
      </c>
      <c r="B36" s="13" t="inlineStr">
        <is>
          <t>CONVENIO DE SUMINISTRO DE TIRAS REACTIVAS DE GLICEMIA CON EQUIPO EN COMODATO DE MONITOR DE GLICEMIA CAPILAR POR 36 MESES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1075963-315-LP26</t>
        </is>
      </c>
      <c r="B37" s="13" t="inlineStr">
        <is>
          <t>CONVENIO DE SUMINISTRO DE CINTAS REACTIVAS DE PROTROMBINA CON EQUIPO EN COMODATO POR 36 MESES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1079650-57-LE26</t>
        </is>
      </c>
      <c r="B38" s="13" t="inlineStr">
        <is>
          <t>EQUIPOS REHABILITACION COLDAS UDEC HTC</t>
        </is>
      </c>
      <c r="C38" s="11" t="n">
        <v>0</v>
      </c>
      <c r="D38" s="13" t="inlineStr">
        <is>
          <t>score 0 &lt; 30</t>
        </is>
      </c>
    </row>
    <row r="39">
      <c r="A39" s="11" t="inlineStr">
        <is>
          <t>1079969-19-LP26</t>
        </is>
      </c>
      <c r="B39" s="13" t="inlineStr">
        <is>
          <t>CAMBIO DE CUBIERTA Y MEJORAMIENTO GALPÓN O.S.11.</t>
        </is>
      </c>
      <c r="C39" s="11" t="n">
        <v>7</v>
      </c>
      <c r="D39" s="13" t="inlineStr">
        <is>
          <t>solo mencion de inmueble, sin servicio inmobiliario</t>
        </is>
      </c>
    </row>
    <row r="40">
      <c r="A40" s="11" t="inlineStr">
        <is>
          <t>1099402-21-L126</t>
        </is>
      </c>
      <c r="B40" s="13" t="inlineStr">
        <is>
          <t>ARRIENDO DE ESPACIO PARA DISPOSICIÓN DE KIOSKO O CAFETERIA</t>
        </is>
      </c>
      <c r="C40" s="11" t="n">
        <v>17</v>
      </c>
      <c r="D40" s="13" t="inlineStr">
        <is>
          <t>score 17 &lt; 30</t>
        </is>
      </c>
    </row>
    <row r="41">
      <c r="A41" s="11" t="inlineStr">
        <is>
          <t>1109692-8-LE26</t>
        </is>
      </c>
      <c r="B41" s="13" t="inlineStr">
        <is>
          <t>EQUIPAMIENTO AUDIOVISUAL Y MULTIMEDIA SEDE PORVENIR</t>
        </is>
      </c>
      <c r="C41" s="11" t="n">
        <v>8</v>
      </c>
      <c r="D41" s="13" t="inlineStr">
        <is>
          <t>solo mencion de inmueble, sin servicio inmobiliario</t>
        </is>
      </c>
    </row>
    <row r="42">
      <c r="A42" s="11" t="inlineStr">
        <is>
          <t>1116006-4-LE26</t>
        </is>
      </c>
      <c r="B42" s="13" t="inlineStr">
        <is>
          <t>Corte de Árboles dependencias Aeródromo Tte. Vidal</t>
        </is>
      </c>
      <c r="C42" s="11" t="n">
        <v>8</v>
      </c>
      <c r="D42" s="13" t="inlineStr">
        <is>
          <t>solo mencion de inmueble, sin servicio inmobiliario</t>
        </is>
      </c>
    </row>
    <row r="43">
      <c r="A43" s="11" t="inlineStr">
        <is>
          <t>1126922-33-LP26</t>
        </is>
      </c>
      <c r="B43" s="13" t="inlineStr">
        <is>
          <t>SUMINISTRO DE SERVICIOS DE CONTROL DE PLAGAS PARA ESTABLECIMIENTOS EDUCACIONALES JARDINES INFANTILES Y OFICINAS DEL SERVICIO LOCAL DE EDUCACIÓN PÚBLICA DE LLANQUIHUE</t>
        </is>
      </c>
      <c r="C43" s="11" t="n">
        <v>10</v>
      </c>
      <c r="D43" s="13" t="inlineStr">
        <is>
          <t>solo mencion de inmueble, sin servicio inmobiliario</t>
        </is>
      </c>
    </row>
    <row r="44">
      <c r="A44" s="11" t="inlineStr">
        <is>
          <t>1165648-6-L126</t>
        </is>
      </c>
      <c r="B44" s="13" t="inlineStr">
        <is>
          <t>SERVICIO INTEGRAL DE MANTENIMIENTO PREVENTIVO, ASISTENCIA TÉCNICA, DIAGNÓSTICO, ATENCIÓN CORRECTIVA Y SOPORTE CONTINUO PARA SILLONES DENTALES Y COMPRESOR DEL DEPARTAMENTO DE SALUD MUNICIPAL DE LIMACHE</t>
        </is>
      </c>
      <c r="C44" s="11" t="n">
        <v>5</v>
      </c>
      <c r="D44" s="13" t="inlineStr">
        <is>
          <t>solo mencion de inmueble, sin servicio inmobiliario</t>
        </is>
      </c>
    </row>
    <row r="45">
      <c r="A45" s="11" t="inlineStr">
        <is>
          <t>1180730-37-LP26</t>
        </is>
      </c>
      <c r="B45" s="13" t="inlineStr">
        <is>
          <t>HABILITACION RECINTOS SERVICIO ONCOLÓGICO HCM</t>
        </is>
      </c>
      <c r="C45" s="11" t="n">
        <v>11</v>
      </c>
      <c r="D45" s="13" t="inlineStr">
        <is>
          <t>score 11 &lt; 30</t>
        </is>
      </c>
    </row>
    <row r="46">
      <c r="A46" s="11" t="inlineStr">
        <is>
          <t>1180830-16-LR26</t>
        </is>
      </c>
      <c r="B46" s="13" t="inlineStr">
        <is>
          <t>CONST. BODEGA FARMACIA CAN PP 77-2026</t>
        </is>
      </c>
      <c r="C46" s="11" t="n">
        <v>7</v>
      </c>
      <c r="D46" s="13" t="inlineStr">
        <is>
          <t>solo mencion de inmueble, sin servicio inmobiliario</t>
        </is>
      </c>
    </row>
    <row r="47">
      <c r="A47" s="11" t="inlineStr">
        <is>
          <t>1197-20-L126</t>
        </is>
      </c>
      <c r="B47" s="13" t="inlineStr">
        <is>
          <t>MANTENCIONES Y REPARACIONES MENORES OFICINA DR DE ATACAMA</t>
        </is>
      </c>
      <c r="C47" s="11" t="n">
        <v>10</v>
      </c>
      <c r="D47" s="13" t="inlineStr">
        <is>
          <t>solo mencion de inmueble, sin servicio inmobiliario</t>
        </is>
      </c>
    </row>
    <row r="48">
      <c r="A48" s="11" t="inlineStr">
        <is>
          <t>1216085-59-LP26</t>
        </is>
      </c>
      <c r="B48" s="13" t="inlineStr">
        <is>
          <t>SUMINISTRO EN COMODATO HEMOGLOBINA GLICOSILADA</t>
        </is>
      </c>
      <c r="C48" s="11" t="n">
        <v>0</v>
      </c>
      <c r="D48" s="13" t="inlineStr">
        <is>
          <t>score 0 &lt; 30</t>
        </is>
      </c>
    </row>
    <row r="49">
      <c r="A49" s="11" t="inlineStr">
        <is>
          <t>1232565-33-LE26</t>
        </is>
      </c>
      <c r="B49" s="13" t="inlineStr">
        <is>
          <t>ARRIENDO EQUPO E INSFRAESTRUCTURA PROYECTO ULS2493</t>
        </is>
      </c>
      <c r="C49" s="11" t="n">
        <v>0</v>
      </c>
      <c r="D49" s="13" t="inlineStr">
        <is>
          <t>score 0 &lt; 30</t>
        </is>
      </c>
    </row>
    <row r="50">
      <c r="A50" s="11" t="inlineStr">
        <is>
          <t>1233615-56-LE26</t>
        </is>
      </c>
      <c r="B50" s="13" t="inlineStr">
        <is>
          <t>HABILITACIÓN CENTRO DE DISTRIBUCIÓN REGIONAL</t>
        </is>
      </c>
      <c r="C50" s="11" t="n">
        <v>0</v>
      </c>
      <c r="D50" s="13" t="inlineStr">
        <is>
          <t>score 0 &lt; 30</t>
        </is>
      </c>
    </row>
    <row r="51">
      <c r="A51" s="11" t="inlineStr">
        <is>
          <t>1261-19-LR26</t>
        </is>
      </c>
      <c r="B51" s="13" t="inlineStr">
        <is>
          <t>Habilitación paseo urbanofluvial lecho río Mapocho</t>
        </is>
      </c>
      <c r="C51" s="11" t="n">
        <v>0</v>
      </c>
      <c r="D51" s="13" t="inlineStr">
        <is>
          <t>score 0 &lt; 30</t>
        </is>
      </c>
    </row>
    <row r="52">
      <c r="A52" s="11" t="inlineStr">
        <is>
          <t>1271359-120-B226</t>
        </is>
      </c>
      <c r="B52" s="13" t="inlineStr">
        <is>
          <t>ARRIENDO MODULOS Y PASILLOS DE CIRCULACIÓN - C.BAUZA</t>
        </is>
      </c>
      <c r="C52" s="11" t="n">
        <v>14</v>
      </c>
      <c r="D52" s="13" t="inlineStr">
        <is>
          <t>score 14 &lt; 30</t>
        </is>
      </c>
    </row>
    <row r="53">
      <c r="A53" s="11" t="inlineStr">
        <is>
          <t>1280-41-LE26</t>
        </is>
      </c>
      <c r="B53" s="13" t="inlineStr">
        <is>
          <t>SERVICIO DE TRASLADO E INSTALACION DE SEÑALES</t>
        </is>
      </c>
      <c r="C53" s="11" t="n">
        <v>6</v>
      </c>
      <c r="D53" s="13" t="inlineStr">
        <is>
          <t>score 6 &lt; 30</t>
        </is>
      </c>
    </row>
    <row r="54">
      <c r="A54" s="11" t="inlineStr">
        <is>
          <t>1280-42-LE26</t>
        </is>
      </c>
      <c r="B54" s="13" t="inlineStr">
        <is>
          <t>ARRIENDO DOS RODILLOS LISOS SIMPLES</t>
        </is>
      </c>
      <c r="C54" s="11" t="n">
        <v>0</v>
      </c>
      <c r="D54" s="13" t="inlineStr">
        <is>
          <t>score 0 &lt; 30</t>
        </is>
      </c>
    </row>
    <row r="55">
      <c r="A55" s="11" t="inlineStr">
        <is>
          <t>1293138-13-LP26</t>
        </is>
      </c>
      <c r="B55" s="13" t="inlineStr">
        <is>
          <t>BODEGA ABAST SOMBREADERO JARDIN INFANTIL Y OTROS</t>
        </is>
      </c>
      <c r="C55" s="11" t="n">
        <v>7</v>
      </c>
      <c r="D55" s="13" t="inlineStr">
        <is>
          <t>solo mencion de inmueble, sin servicio inmobiliario</t>
        </is>
      </c>
    </row>
    <row r="56">
      <c r="A56" s="11" t="inlineStr">
        <is>
          <t>1305527-3-LP26</t>
        </is>
      </c>
      <c r="B56" s="13" t="inlineStr">
        <is>
          <t>CONTRAT. ARRIENDO DEL SIST. DE CONTROL DE ASIS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1344190-12-LE26</t>
        </is>
      </c>
      <c r="B57" s="13" t="inlineStr">
        <is>
          <t>CONTRATO DE SUMINISTRO DE AYUDAS TÉCNICAS PARA LA ESTABILIZACIÓN Y POSICIONAMIENTO DEL CUERPO EN SEDENTEGRUPO G-4</t>
        </is>
      </c>
      <c r="C57" s="11" t="n">
        <v>8</v>
      </c>
      <c r="D57" s="13" t="inlineStr">
        <is>
          <t>solo mencion de inmueble, sin servicio inmobiliario</t>
        </is>
      </c>
    </row>
    <row r="58">
      <c r="A58" s="11" t="inlineStr">
        <is>
          <t>1348-5-LP26</t>
        </is>
      </c>
      <c r="B58" s="13" t="inlineStr">
        <is>
          <t>HABILITACIÓN OFICINA REGISTRO CIVIL PURRANQUE</t>
        </is>
      </c>
      <c r="C58" s="11" t="n">
        <v>16</v>
      </c>
      <c r="D58" s="13" t="inlineStr">
        <is>
          <t>score 16 &lt; 30</t>
        </is>
      </c>
    </row>
    <row r="59">
      <c r="A59" s="11" t="inlineStr">
        <is>
          <t>1351-6-LP26</t>
        </is>
      </c>
      <c r="B59" s="13" t="inlineStr">
        <is>
          <t>SERVICIO HABILITACIÓN DE OFICINA QUILPUÉ</t>
        </is>
      </c>
      <c r="C59" s="11" t="n">
        <v>16</v>
      </c>
      <c r="D59" s="13" t="inlineStr">
        <is>
          <t>score 16 &lt; 30</t>
        </is>
      </c>
    </row>
    <row r="60">
      <c r="A60" s="11" t="inlineStr">
        <is>
          <t>1375746-17-LP26</t>
        </is>
      </c>
      <c r="B60" s="13" t="inlineStr">
        <is>
          <t xml:space="preserve">SERV LEVANTAMIENTO DE INVENTARIO ACTIVO FIJO SLEP </t>
        </is>
      </c>
      <c r="C60" s="11" t="n">
        <v>13</v>
      </c>
      <c r="D60" s="13" t="inlineStr">
        <is>
          <t>score 13 &lt; 30</t>
        </is>
      </c>
    </row>
    <row r="61">
      <c r="A61" s="11" t="inlineStr">
        <is>
          <t>1395865-16-LE26</t>
        </is>
      </c>
      <c r="B61" s="13" t="inlineStr">
        <is>
          <t>SERVICIO MANTENCIÓN PREVENTIVA ÁREA SANITARIA ARTEFACTOS SANITARIOS - TEATRO REGIONAL CERVANTES Y OFICINAS ADMINISTRATIVAS ASOCIACIÓN PATRIMONIAL CULTURAL REGIÓN DE LOS RÍOS</t>
        </is>
      </c>
      <c r="C61" s="11" t="n">
        <v>10</v>
      </c>
      <c r="D61" s="13" t="inlineStr">
        <is>
          <t>solo mencion de inmueble, sin servicio inmobiliario</t>
        </is>
      </c>
    </row>
    <row r="62">
      <c r="A62" s="11" t="inlineStr">
        <is>
          <t>1415863-2-LE26</t>
        </is>
      </c>
      <c r="B62" s="13" t="inlineStr">
        <is>
          <t>SERVICIO DE EVALUACIONES PSICOLABORALES PARA EL PROCESO DE RECLUTAMIENTO Y SELECCIÓN DEL DEPARTAMENTO DE GESTIÓN Y DESARROLLO DE LAS PERSONAS DEL INSTITUTO DE SEGURIDAD LABORAL</t>
        </is>
      </c>
      <c r="C62" s="11" t="n">
        <v>5</v>
      </c>
      <c r="D62" s="13" t="inlineStr">
        <is>
          <t>solo mencion de inmueble, sin servicio inmobiliario</t>
        </is>
      </c>
    </row>
    <row r="63">
      <c r="A63" s="11" t="inlineStr">
        <is>
          <t>1422824-1-LR26</t>
        </is>
      </c>
      <c r="B63" s="13" t="inlineStr">
        <is>
          <t>CONTRATO DE SUMINISTRO DE REACTIVOS PARA EXÁMENES BIOQUÍMICOS INMUNOENDOCRINOLÓGICOS Y SEROLOGICOS CON EQUIPAMIENTO Y SISTEMA INFORMÁTICO DE LABORATORIO EN COMODATO PARA EL HOSPITAL CARLOS VAN BUREN</t>
        </is>
      </c>
      <c r="C63" s="11" t="n">
        <v>0</v>
      </c>
      <c r="D63" s="13" t="inlineStr">
        <is>
          <t>score 0 &lt; 30</t>
        </is>
      </c>
    </row>
    <row r="64">
      <c r="A64" s="11" t="inlineStr">
        <is>
          <t>1422824-25-LP26</t>
        </is>
      </c>
      <c r="B64" s="13" t="inlineStr">
        <is>
          <t>CONTRATO DE SUMINISTRO DE ASAS DE CORTE PARA HISTERO-RESECTOSCOPIA CON EQUIPAMIENTO EN COMODATO PARA EL HOSPITAL CARLOS VAN BUREN</t>
        </is>
      </c>
      <c r="C64" s="11" t="n">
        <v>0</v>
      </c>
      <c r="D64" s="13" t="inlineStr">
        <is>
          <t>score 0 &lt; 30</t>
        </is>
      </c>
    </row>
    <row r="65">
      <c r="A65" s="11" t="inlineStr">
        <is>
          <t>1422832-9-LR26</t>
        </is>
      </c>
      <c r="B65" s="13" t="inlineStr">
        <is>
          <t>CONTRATO DE SERVICIOS DE ARRENDAMIENTO DE NEUROMONITOREO INTRAOPERATORIO ASPIRADOR ULTRASÓNICO KIT PARA NEUROTOMIA LUMBAR POR RADIOFRECUENCIA PARA EL SERVICIO DE NEUROCIRUGIA DEL HOSPITAL CARLOS VAN BUREN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1443-1-LE26</t>
        </is>
      </c>
      <c r="B66" s="13" t="inlineStr">
        <is>
          <t>Servicio de bodegaje y almacenamiento</t>
        </is>
      </c>
      <c r="C66" s="11" t="n">
        <v>7</v>
      </c>
      <c r="D66" s="13" t="inlineStr">
        <is>
          <t>solo mencion de inmueble, sin servicio inmobiliario</t>
        </is>
      </c>
    </row>
    <row r="67">
      <c r="A67" s="11" t="inlineStr">
        <is>
          <t>1448821-14-LP26</t>
        </is>
      </c>
      <c r="B67" s="13" t="inlineStr">
        <is>
          <t>HABILITACIÓN POZO PROFUNDO HUEQUI NORTE CHAITÉN</t>
        </is>
      </c>
      <c r="C67" s="11" t="n">
        <v>0</v>
      </c>
      <c r="D67" s="13" t="inlineStr">
        <is>
          <t>score 0 &lt; 30</t>
        </is>
      </c>
    </row>
    <row r="68">
      <c r="A68" s="11" t="inlineStr">
        <is>
          <t>1469-189-L126</t>
        </is>
      </c>
      <c r="B68" s="13" t="inlineStr">
        <is>
          <t>Servicio de Habilitación de Laboratorio Central – Facultad de Odontología, Universidad de Talca</t>
        </is>
      </c>
      <c r="C68" s="11" t="n">
        <v>6</v>
      </c>
      <c r="D68" s="13" t="inlineStr">
        <is>
          <t>score 6 &lt; 30</t>
        </is>
      </c>
    </row>
    <row r="69">
      <c r="A69" s="11" t="inlineStr">
        <is>
          <t>1501468-17-LE26</t>
        </is>
      </c>
      <c r="B69" s="13" t="inlineStr">
        <is>
          <t>SERVICIO DE ARRIENDO RELOJ CONTROL E.E</t>
        </is>
      </c>
      <c r="C69" s="11" t="n">
        <v>0</v>
      </c>
      <c r="D69" s="13" t="inlineStr">
        <is>
          <t>score 0 &lt; 30</t>
        </is>
      </c>
    </row>
    <row r="70">
      <c r="A70" s="11" t="inlineStr">
        <is>
          <t>1537592-17-LE26</t>
        </is>
      </c>
      <c r="B70" s="13" t="inlineStr">
        <is>
          <t>Adquisición de Elementos de Seguridad Protección Personal y Equipamiento para Trabajos en Terreno</t>
        </is>
      </c>
      <c r="C70" s="11" t="n">
        <v>9</v>
      </c>
      <c r="D70" s="13" t="inlineStr">
        <is>
          <t>solo mencion de inmueble, sin servicio inmobiliario</t>
        </is>
      </c>
    </row>
    <row r="71">
      <c r="A71" s="11" t="inlineStr">
        <is>
          <t>1549-70-LR26</t>
        </is>
      </c>
      <c r="B71" s="13" t="inlineStr">
        <is>
          <t>ARRIENDO DE 07 MAQUINAS DE ANESTESIA</t>
        </is>
      </c>
      <c r="C71" s="11" t="n">
        <v>0</v>
      </c>
      <c r="D71" s="13" t="inlineStr">
        <is>
          <t>score 0 &lt; 30</t>
        </is>
      </c>
    </row>
    <row r="72">
      <c r="A72" s="11" t="inlineStr">
        <is>
          <t>1554-55-LR26</t>
        </is>
      </c>
      <c r="B72" s="13" t="inlineStr">
        <is>
          <t>contratación de Servicios de Transporte de pasajeros zona Norte y Sur del país apoyo traslado de pacientes del Hospital Regional Copiapó.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1605-41-LP26</t>
        </is>
      </c>
      <c r="B73" s="13" t="inlineStr">
        <is>
          <t>LP-4872 Servicios de mantención general edificios</t>
        </is>
      </c>
      <c r="C73" s="11" t="n">
        <v>8</v>
      </c>
      <c r="D73" s="13" t="inlineStr">
        <is>
          <t>solo mencion de inmueble, sin servicio inmobiliario</t>
        </is>
      </c>
    </row>
    <row r="74">
      <c r="A74" s="11" t="inlineStr">
        <is>
          <t>1605-45-LP26</t>
        </is>
      </c>
      <c r="B74" s="13" t="inlineStr">
        <is>
          <t>LP-5125 SERVICIO DE DISPENSADORES Y PURIFICADORES DE AGUA PARA LAS OFICINAS DEL SII</t>
        </is>
      </c>
      <c r="C74" s="11" t="n">
        <v>16</v>
      </c>
      <c r="D74" s="13" t="inlineStr">
        <is>
          <t>score 16 &lt; 30</t>
        </is>
      </c>
    </row>
    <row r="75">
      <c r="A75" s="11" t="inlineStr">
        <is>
          <t>162-26-LE26</t>
        </is>
      </c>
      <c r="B75" s="13" t="inlineStr">
        <is>
          <t>Servicio traslado de muestras a los Laboratorios</t>
        </is>
      </c>
      <c r="C75" s="11" t="n">
        <v>0</v>
      </c>
      <c r="D75" s="13" t="inlineStr">
        <is>
          <t>score 0 &lt; 30</t>
        </is>
      </c>
    </row>
    <row r="76">
      <c r="A76" s="11" t="inlineStr">
        <is>
          <t>1624-21-L126</t>
        </is>
      </c>
      <c r="B76" s="13" t="inlineStr">
        <is>
          <t>Convenio de suministros de Oxígeno Médico, Recarga y Arriendo de cilindros para servicios Urgencias y Hospitalizados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1641-219-LR26</t>
        </is>
      </c>
      <c r="B77" s="13" t="inlineStr">
        <is>
          <t>FMM - SERVICIO DE ARRIENDO DE EQUIPOS DE CLIMATIZACIÓN</t>
        </is>
      </c>
      <c r="C77" s="11" t="n">
        <v>0</v>
      </c>
      <c r="D77" s="13" t="inlineStr">
        <is>
          <t>score 0 &lt; 30</t>
        </is>
      </c>
    </row>
    <row r="78">
      <c r="A78" s="11" t="inlineStr">
        <is>
          <t>1655-23-LP26</t>
        </is>
      </c>
      <c r="B78" s="13" t="inlineStr">
        <is>
          <t>ARRIENDO DE CONTEINER PARA ATENCIÓN OFTALMOLÓGICA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1658-189-LP26</t>
        </is>
      </c>
      <c r="B79" s="13" t="inlineStr">
        <is>
          <t>P.230-2026 REPARACIÓN CUBIERTA DE LONA SUPERIOR CASA DE MÁQUINAS MUSEO FERROVIARIO</t>
        </is>
      </c>
      <c r="C79" s="11" t="n">
        <v>5</v>
      </c>
      <c r="D79" s="13" t="inlineStr">
        <is>
          <t>solo mencion de inmueble, sin servicio inmobiliario</t>
        </is>
      </c>
    </row>
    <row r="80">
      <c r="A80" s="11" t="inlineStr">
        <is>
          <t>1663-137-LE26</t>
        </is>
      </c>
      <c r="B80" s="13" t="inlineStr">
        <is>
          <t>ARRIENDO DE SISTEMA MOVIL PARA SEDACION</t>
        </is>
      </c>
      <c r="C80" s="11" t="n">
        <v>0</v>
      </c>
      <c r="D80" s="13" t="inlineStr">
        <is>
          <t>score 0 &lt; 30</t>
        </is>
      </c>
    </row>
    <row r="81">
      <c r="A81" s="11" t="inlineStr">
        <is>
          <t>1671-30-LE26</t>
        </is>
      </c>
      <c r="B81" s="13" t="inlineStr">
        <is>
          <t>Reestructuración Oficina de Partes de la SEREMI de</t>
        </is>
      </c>
      <c r="C81" s="11" t="n">
        <v>10</v>
      </c>
      <c r="D81" s="13" t="inlineStr">
        <is>
          <t>solo mencion de inmueble, sin servicio inmobiliario</t>
        </is>
      </c>
    </row>
    <row r="82">
      <c r="A82" s="11" t="inlineStr">
        <is>
          <t>1696-11-LE26</t>
        </is>
      </c>
      <c r="B82" s="13" t="inlineStr">
        <is>
          <t>Habilitación de sala de audiencia para el Juzgado de Familia de Arica</t>
        </is>
      </c>
      <c r="C82" s="11" t="n">
        <v>0</v>
      </c>
      <c r="D82" s="13" t="inlineStr">
        <is>
          <t>score 0 &lt; 30</t>
        </is>
      </c>
    </row>
    <row r="83">
      <c r="A83" s="11" t="inlineStr">
        <is>
          <t>1697-40-LR26</t>
        </is>
      </c>
      <c r="B83" s="13" t="inlineStr">
        <is>
          <t>CONVENIO TRASLADO DE PERSONAS PARA EL CINJ</t>
        </is>
      </c>
      <c r="C83" s="11" t="n">
        <v>0</v>
      </c>
      <c r="D83" s="13" t="inlineStr">
        <is>
          <t>score 0 &lt; 30</t>
        </is>
      </c>
    </row>
    <row r="84">
      <c r="A84" s="11" t="inlineStr">
        <is>
          <t>1973-96-LE26</t>
        </is>
      </c>
      <c r="B84" s="13" t="inlineStr">
        <is>
          <t xml:space="preserve">SERVICIO DE ARRIENDO DE VIDEOCOLONOSCOPIO </t>
        </is>
      </c>
      <c r="C84" s="11" t="n">
        <v>16</v>
      </c>
      <c r="D84" s="13" t="inlineStr">
        <is>
          <t>score 16 &lt; 30</t>
        </is>
      </c>
    </row>
    <row r="85">
      <c r="A85" s="11" t="inlineStr">
        <is>
          <t>1978-100-L126</t>
        </is>
      </c>
      <c r="B85" s="13" t="inlineStr">
        <is>
          <t>REPOSICIÓN VENTANA, PUERTA Y TRASLADO DE HIGROMETRO SSMAULE</t>
        </is>
      </c>
      <c r="C85" s="11" t="n">
        <v>9</v>
      </c>
      <c r="D85" s="13" t="inlineStr">
        <is>
          <t>score 9 &lt; 30</t>
        </is>
      </c>
    </row>
    <row r="86">
      <c r="A86" s="11" t="inlineStr">
        <is>
          <t>2069-155-LP26</t>
        </is>
      </c>
      <c r="B86" s="13" t="inlineStr">
        <is>
          <t>CGM ARRIENDO DE RESECTOSCOPIOS BIPOLARES Y NEFROSC</t>
        </is>
      </c>
      <c r="C86" s="11" t="n">
        <v>0</v>
      </c>
      <c r="D86" s="13" t="inlineStr">
        <is>
          <t>score 0 &lt; 30</t>
        </is>
      </c>
    </row>
    <row r="87">
      <c r="A87" s="11" t="inlineStr">
        <is>
          <t>2098-115-LE26</t>
        </is>
      </c>
      <c r="B87" s="13" t="inlineStr">
        <is>
          <t>CONVENIO FÁRMACO PROPOFOL CON SET DE ADMINISTRACIÓN KIT TIVA MÁS 6 BOMBAS DE JERINGA EN COMODATO POR UN PERIODO DE 24 MESES HRAV PAC N°163</t>
        </is>
      </c>
      <c r="C87" s="11" t="n">
        <v>10</v>
      </c>
      <c r="D87" s="13" t="inlineStr">
        <is>
          <t>score 10 &lt; 30</t>
        </is>
      </c>
    </row>
    <row r="88">
      <c r="A88" s="11" t="inlineStr">
        <is>
          <t>2098-124-LE26</t>
        </is>
      </c>
      <c r="B88" s="13" t="inlineStr">
        <is>
          <t>ARRIENDO DE EQUIPO TERMOCICLADOR MULTINACAL PARA EL SERVICIO DE LABORATORIO CLINICO HRV</t>
        </is>
      </c>
      <c r="C88" s="11" t="n">
        <v>14</v>
      </c>
      <c r="D88" s="13" t="inlineStr">
        <is>
          <t>score 14 &lt; 30</t>
        </is>
      </c>
    </row>
    <row r="89">
      <c r="A89" s="11" t="inlineStr">
        <is>
          <t>2098-127-LE26</t>
        </is>
      </c>
      <c r="B89" s="13" t="inlineStr">
        <is>
          <t>CONVENIO DE TIRAS REACTIVAS PARA HEMOGLOBINA CON EQUIPAMIENTO EN COMODATO</t>
        </is>
      </c>
      <c r="C89" s="11" t="n">
        <v>10</v>
      </c>
      <c r="D89" s="13" t="inlineStr">
        <is>
          <t>score 10 &lt; 30</t>
        </is>
      </c>
    </row>
    <row r="90">
      <c r="A90" s="11" t="inlineStr">
        <is>
          <t>2098-133-LP26</t>
        </is>
      </c>
      <c r="B90" s="13" t="inlineStr">
        <is>
          <t>CONVENIO SUMINISTRO PAQUETES DE PARTO Y PAQUETES DE CIRUGÍA UNIVERSAL PARA REPOSICIÓN BODEGA FOLIO PAC 156 – PARA UN PERIODO DE 18 MESES</t>
        </is>
      </c>
      <c r="C90" s="11" t="n">
        <v>7</v>
      </c>
      <c r="D90" s="13" t="inlineStr">
        <is>
          <t>solo mencion de inmueble, sin servicio inmobiliario</t>
        </is>
      </c>
    </row>
    <row r="91">
      <c r="A91" s="11" t="inlineStr">
        <is>
          <t>2098-134-LP26</t>
        </is>
      </c>
      <c r="B91" s="13" t="inlineStr">
        <is>
          <t>CONVENIO SUMINISTRO CLORHEXIDINAS ALCOHOL AL 70% POVIDONAS Y VASELINA LÍQUIDA PARA REPOSICIÓN BODEGA FOLIO PAC 159 – PARA UN PERIODO DE 24 MESES</t>
        </is>
      </c>
      <c r="C91" s="11" t="n">
        <v>7</v>
      </c>
      <c r="D91" s="13" t="inlineStr">
        <is>
          <t>solo mencion de inmueble, sin servicio inmobiliario</t>
        </is>
      </c>
    </row>
    <row r="92">
      <c r="A92" s="11" t="inlineStr">
        <is>
          <t>2107-142-LE26</t>
        </is>
      </c>
      <c r="B92" s="13" t="inlineStr">
        <is>
          <t>ARRIENDO DE TOTEMS AUTOADMINISTRADOS PARA HSC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2107-144-LP26</t>
        </is>
      </c>
      <c r="B93" s="13" t="inlineStr">
        <is>
          <t>SUMINISTRO DE IMPLANTES QUIRURGICOS Y ADITAMENTOS PROTESICOS IMPLANTOLOGICOS PARA DEPARTAMENTO ODONTOESTOMATOLOGIA</t>
        </is>
      </c>
      <c r="C93" s="11" t="n">
        <v>5</v>
      </c>
      <c r="D93" s="13" t="inlineStr">
        <is>
          <t>solo mencion de inmueble, sin servicio inmobiliario</t>
        </is>
      </c>
    </row>
    <row r="94">
      <c r="A94" s="11" t="inlineStr">
        <is>
          <t>2109-10-LP26</t>
        </is>
      </c>
      <c r="B94" s="13" t="inlineStr">
        <is>
          <t>CONTRATACIÓN DEL SERVICIO DE FOTOCOPIADO IMPRESIÓN Y ESCANEO CON EQUIPOS EN COMODATO</t>
        </is>
      </c>
      <c r="C94" s="11" t="n">
        <v>0</v>
      </c>
      <c r="D94" s="13" t="inlineStr">
        <is>
          <t>score 0 &lt; 30</t>
        </is>
      </c>
    </row>
    <row r="95">
      <c r="A95" s="11" t="inlineStr">
        <is>
          <t>2126-128-LE26</t>
        </is>
      </c>
      <c r="B95" s="13" t="inlineStr">
        <is>
          <t>SERVICIO DE HABILITACIÓN DE DISPOSITIVO EXTERNO HOSPITAL DIA DEL HOSPITAL SAN PABLO DE COQUIMBO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2173-27-LE26</t>
        </is>
      </c>
      <c r="B96" s="13" t="inlineStr">
        <is>
          <t>SERVICIO PUNTUAL DE MANTENCION PREVENTIVA Y CORRECTIVA A EQUIPOS Y SISTEMAS DE CLIMATIZACION EN EDIFICIOS DE LA JURISDICCION ZONAL SANTIAGO</t>
        </is>
      </c>
      <c r="C96" s="11" t="n">
        <v>8</v>
      </c>
      <c r="D96" s="13" t="inlineStr">
        <is>
          <t>solo mencion de inmueble, sin servicio inmobiliario</t>
        </is>
      </c>
    </row>
    <row r="97">
      <c r="A97" s="11" t="inlineStr">
        <is>
          <t>2179-14-LE26</t>
        </is>
      </c>
      <c r="B97" s="13" t="inlineStr">
        <is>
          <t>CONV. DE PRECIOS SERV. DE TRASLADO PERSONAL TEMUCO</t>
        </is>
      </c>
      <c r="C97" s="11" t="n">
        <v>9</v>
      </c>
      <c r="D97" s="13" t="inlineStr">
        <is>
          <t>score 9 &lt; 30</t>
        </is>
      </c>
    </row>
    <row r="98">
      <c r="A98" s="11" t="inlineStr">
        <is>
          <t>2258-133-LR26</t>
        </is>
      </c>
      <c r="B98" s="13" t="inlineStr">
        <is>
          <t>SERVICIOS DE AEROAMBULANCIA PARA EL TRASLADO DE PACIENTES CRÍTICOS BENEFICIARIOS DEL HOSPITAL REGIONAL DE ANTOFAGASTA</t>
        </is>
      </c>
      <c r="C98" s="11" t="n">
        <v>0</v>
      </c>
      <c r="D98" s="13" t="inlineStr">
        <is>
          <t>score 0 &lt; 30</t>
        </is>
      </c>
    </row>
    <row r="99">
      <c r="A99" s="11" t="inlineStr">
        <is>
          <t>2258-168-LE26</t>
        </is>
      </c>
      <c r="B99" s="13" t="inlineStr">
        <is>
          <t>SERVICIO DE MAPEO TERMICO DE BODEGAS DEL HRA.</t>
        </is>
      </c>
      <c r="C99" s="11" t="n">
        <v>7</v>
      </c>
      <c r="D99" s="13" t="inlineStr">
        <is>
          <t>solo mencion de inmueble, sin servicio inmobiliario</t>
        </is>
      </c>
    </row>
    <row r="100">
      <c r="A100" s="11" t="inlineStr">
        <is>
          <t>2258-175-LR26</t>
        </is>
      </c>
      <c r="B100" s="13" t="inlineStr">
        <is>
          <t>TEST MOLECULARES CON ENTREGA DE EQUIPOS EN COMODATO PARA LA UNIDAD DE LABORATORIO CLÍNICO</t>
        </is>
      </c>
      <c r="C100" s="11" t="n">
        <v>0</v>
      </c>
      <c r="D100" s="13" t="inlineStr">
        <is>
          <t>score 0 &lt; 30</t>
        </is>
      </c>
    </row>
    <row r="101">
      <c r="A101" s="11" t="inlineStr">
        <is>
          <t>2258-37-LR26</t>
        </is>
      </c>
      <c r="B101" s="13" t="inlineStr">
        <is>
          <t>TEST REPORTADO QUIMICA INMUNOLOGIA SEROLOGIA HORMONAS HEMATOLOGIA GASOMETRIA EN EQUIPOS EN COMODATO</t>
        </is>
      </c>
      <c r="C101" s="11" t="n">
        <v>0</v>
      </c>
      <c r="D101" s="13" t="inlineStr">
        <is>
          <t>score 0 &lt; 30</t>
        </is>
      </c>
    </row>
    <row r="102">
      <c r="A102" s="11" t="inlineStr">
        <is>
          <t>2258-72-LE26</t>
        </is>
      </c>
      <c r="B102" s="13" t="inlineStr">
        <is>
          <t>SERVICIO DE RETIRO TRASLADO Y DISPOSICIÓN FINAL DE RESIDUOS SÓLIDOS ASIMILABLES A DOMICILIARIOS PARA HOSPITAL REGIONAL DE ANTOFAGASTA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2271-65-LE26</t>
        </is>
      </c>
      <c r="B103" s="13" t="inlineStr">
        <is>
          <t>Instalación y habilitación del Sistema de Ayudas Visuales  Faro del Aeródromo Santo Domingo de acuerdo a bases técnicas adjuntas</t>
        </is>
      </c>
      <c r="C103" s="11" t="n">
        <v>0</v>
      </c>
      <c r="D103" s="13" t="inlineStr">
        <is>
          <t>score 0 &lt; 30</t>
        </is>
      </c>
    </row>
    <row r="104">
      <c r="A104" s="11" t="inlineStr">
        <is>
          <t>2273-55-LE26</t>
        </is>
      </c>
      <c r="B104" s="13" t="inlineStr">
        <is>
          <t>ARRIENDO DE EQUIPAMIENTO PARA DESARROLLO DE EVENTOS MUNICIPALES LA PINTANA</t>
        </is>
      </c>
      <c r="C104" s="11" t="n">
        <v>0</v>
      </c>
      <c r="D104" s="13" t="inlineStr">
        <is>
          <t>score 0 &lt; 30</t>
        </is>
      </c>
    </row>
    <row r="105">
      <c r="A105" s="11" t="inlineStr">
        <is>
          <t>2275-29-LE26</t>
        </is>
      </c>
      <c r="B105" s="13" t="inlineStr">
        <is>
          <t>CONSERVACIÓN Y REMODELACIÓN DEPARTAMENTOS DE USO VACACIONAL BIENESTAR MUNICIPAL</t>
        </is>
      </c>
      <c r="C105" s="11" t="n">
        <v>5</v>
      </c>
      <c r="D105" s="13" t="inlineStr">
        <is>
          <t>solo mencion de inmueble, sin servicio inmobiliario</t>
        </is>
      </c>
    </row>
    <row r="106">
      <c r="A106" s="11" t="inlineStr">
        <is>
          <t>2279-58-LE26</t>
        </is>
      </c>
      <c r="B106" s="13" t="inlineStr">
        <is>
          <t>SP 592 ADQUISICION DE MATERIALES DE OFICINA CORPORATIVOS</t>
        </is>
      </c>
      <c r="C106" s="11" t="n">
        <v>10</v>
      </c>
      <c r="D106" s="13" t="inlineStr">
        <is>
          <t>solo mencion de inmueble, sin servicio inmobiliario</t>
        </is>
      </c>
    </row>
    <row r="107">
      <c r="A107" s="11" t="inlineStr">
        <is>
          <t>2282-96-LE26</t>
        </is>
      </c>
      <c r="B107" s="13" t="inlineStr">
        <is>
          <t>Habilitación Memorial Victor Hugo Carreño Valdivi</t>
        </is>
      </c>
      <c r="C107" s="11" t="n">
        <v>0</v>
      </c>
      <c r="D107" s="13" t="inlineStr">
        <is>
          <t>score 0 &lt; 30</t>
        </is>
      </c>
    </row>
    <row r="108">
      <c r="A108" s="11" t="inlineStr">
        <is>
          <t>2282-97-LR26</t>
        </is>
      </c>
      <c r="B108" s="13" t="inlineStr">
        <is>
          <t>PP 192-2025 ARRIENDO DE SISTEMA PARA LA GESTIÓN DE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2287-25-LP26</t>
        </is>
      </c>
      <c r="B109" s="13" t="inlineStr">
        <is>
          <t>HABILITACIÓN PLAZAS 1 Y 3 PASAJE 9 BARRIO CAUPOLI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2308-72-LE26</t>
        </is>
      </c>
      <c r="B110" s="13" t="inlineStr">
        <is>
          <t>ADQ. HABILITACIÓN Y PUESTA EN MARCHA BÁSCULA</t>
        </is>
      </c>
      <c r="C110" s="11" t="n">
        <v>8</v>
      </c>
      <c r="D110" s="13" t="inlineStr">
        <is>
          <t>score 8 &lt; 30</t>
        </is>
      </c>
    </row>
    <row r="111">
      <c r="A111" s="11" t="inlineStr">
        <is>
          <t>2332-101-L126</t>
        </is>
      </c>
      <c r="B111" s="13" t="inlineStr">
        <is>
          <t>ADQUISICIÓN DE HERRAMIENTAS PARA UNIDAD DE OPERACIONES DEL DEPARTAMENTO DE SALUD MUNICIPAL</t>
        </is>
      </c>
      <c r="C111" s="11" t="n">
        <v>5</v>
      </c>
      <c r="D111" s="13" t="inlineStr">
        <is>
          <t>solo mencion de inmueble, sin servicio inmobiliario</t>
        </is>
      </c>
    </row>
    <row r="112">
      <c r="A112" s="11" t="inlineStr">
        <is>
          <t>2332-104-L126</t>
        </is>
      </c>
      <c r="B112" s="13" t="inlineStr">
        <is>
          <t>HABILITACIÓN BOX DENTAL Y SOME CENTRAL DE “POSTA LAS QUEMAS” DEL DEPARTAMENTO DE SALUD MUNICIPAL DE PUERTO MONTT</t>
        </is>
      </c>
      <c r="C112" s="11" t="n">
        <v>11</v>
      </c>
      <c r="D112" s="13" t="inlineStr">
        <is>
          <t>score 11 &lt; 30</t>
        </is>
      </c>
    </row>
    <row r="113">
      <c r="A113" s="11" t="inlineStr">
        <is>
          <t>2332-105-L126</t>
        </is>
      </c>
      <c r="B113" s="13" t="inlineStr">
        <is>
          <t>ADQUISICIÓN DE TÓRULAS, SERVILLETAS, VASOS DESECHABLES Y EYECTORES ODONTOLÓGICOS PARA EL DEPARTAMENTO DE SALUD MUNICIPAL DE PUERTO MONTT</t>
        </is>
      </c>
      <c r="C113" s="11" t="n">
        <v>5</v>
      </c>
      <c r="D113" s="13" t="inlineStr">
        <is>
          <t>solo mencion de inmueble, sin servicio inmobiliario</t>
        </is>
      </c>
    </row>
    <row r="114">
      <c r="A114" s="11" t="inlineStr">
        <is>
          <t>2366-54-LE26</t>
        </is>
      </c>
      <c r="B114" s="13" t="inlineStr">
        <is>
          <t>HABILITACIÓN SAPU CORTO EN CESFAM RVZ</t>
        </is>
      </c>
      <c r="C114" s="11" t="n">
        <v>0</v>
      </c>
      <c r="D114" s="13" t="inlineStr">
        <is>
          <t>score 0 &lt; 30</t>
        </is>
      </c>
    </row>
    <row r="115">
      <c r="A115" s="11" t="inlineStr">
        <is>
          <t>2369-69-LP26</t>
        </is>
      </c>
      <c r="B115" s="13" t="inlineStr">
        <is>
          <t>PP 44 Construcc. sede social Villa Santa Maria</t>
        </is>
      </c>
      <c r="C115" s="11" t="n">
        <v>8</v>
      </c>
      <c r="D115" s="13" t="inlineStr">
        <is>
          <t>solo mencion de inmueble, sin servicio inmobiliario</t>
        </is>
      </c>
    </row>
    <row r="116">
      <c r="A116" s="11" t="inlineStr">
        <is>
          <t>2369-72-LP26</t>
        </is>
      </c>
      <c r="B116" s="13" t="inlineStr">
        <is>
          <t>PP 45 Construcc. sede social Chile III</t>
        </is>
      </c>
      <c r="C116" s="11" t="n">
        <v>8</v>
      </c>
      <c r="D116" s="13" t="inlineStr">
        <is>
          <t>solo mencion de inmueble, sin servicio inmobiliario</t>
        </is>
      </c>
    </row>
    <row r="117">
      <c r="A117" s="11" t="inlineStr">
        <is>
          <t>2402-76-LE26</t>
        </is>
      </c>
      <c r="B117" s="13" t="inlineStr">
        <is>
          <t>SEGURIDAD RECINTO CELEBRACION FIESTAS PATRIAS 2026</t>
        </is>
      </c>
      <c r="C117" s="11" t="n">
        <v>5</v>
      </c>
      <c r="D117" s="13" t="inlineStr">
        <is>
          <t>solo mencion de inmueble, sin servicio inmobiliario</t>
        </is>
      </c>
    </row>
    <row r="118">
      <c r="A118" s="11" t="inlineStr">
        <is>
          <t>2405-108-LR26</t>
        </is>
      </c>
      <c r="B118" s="13" t="inlineStr">
        <is>
          <t>HABILITACION Y URBANIZACION LOTEO ALTOS</t>
        </is>
      </c>
      <c r="C118" s="11" t="n">
        <v>6</v>
      </c>
      <c r="D118" s="13" t="inlineStr">
        <is>
          <t>score 6 &lt; 30</t>
        </is>
      </c>
    </row>
    <row r="119">
      <c r="A119" s="11" t="inlineStr">
        <is>
          <t>2408-160-LP26</t>
        </is>
      </c>
      <c r="B119" s="13" t="inlineStr">
        <is>
          <t>EQUIPOS INFORMÁTICOS PARA DEPENDENCIAS MUNICIPALES</t>
        </is>
      </c>
      <c r="C119" s="11" t="n">
        <v>8</v>
      </c>
      <c r="D119" s="13" t="inlineStr">
        <is>
          <t>solo mencion de inmueble, sin servicio inmobiliario</t>
        </is>
      </c>
    </row>
    <row r="120">
      <c r="A120" s="11" t="inlineStr">
        <is>
          <t>2408-210-L126</t>
        </is>
      </c>
      <c r="B120" s="13" t="inlineStr">
        <is>
          <t>ADQUISICIÓN DE ARTÍCULOS VARIOS PARA CABAÑAS RECINTO CHACAY.</t>
        </is>
      </c>
      <c r="C120" s="11" t="n">
        <v>5</v>
      </c>
      <c r="D120" s="13" t="inlineStr">
        <is>
          <t>solo mencion de inmueble, sin servicio inmobiliario</t>
        </is>
      </c>
    </row>
    <row r="121">
      <c r="A121" s="11" t="inlineStr">
        <is>
          <t>2408-98-LE26</t>
        </is>
      </c>
      <c r="B121" s="13" t="inlineStr">
        <is>
          <t>Contrato de Suministro para el Servicio de Mantención de Carpetas de Pasto Sintético Departamento de Desarrollo Deportivo – Municipalidad de Los Ángeles</t>
        </is>
      </c>
      <c r="C121" s="11" t="n">
        <v>5</v>
      </c>
      <c r="D121" s="13" t="inlineStr">
        <is>
          <t>solo mencion de inmueble, sin servicio inmobiliario</t>
        </is>
      </c>
    </row>
    <row r="122">
      <c r="A122" s="11" t="inlineStr">
        <is>
          <t>2410-35-LP26</t>
        </is>
      </c>
      <c r="B122" s="13" t="inlineStr">
        <is>
          <t>Adquisición de artículos eléctricos para mantención de inmuebles</t>
        </is>
      </c>
      <c r="C122" s="11" t="n">
        <v>14</v>
      </c>
      <c r="D122" s="13" t="inlineStr">
        <is>
          <t>solo mencion de inmueble, sin servicio inmobiliario</t>
        </is>
      </c>
    </row>
    <row r="123">
      <c r="A123" s="11" t="inlineStr">
        <is>
          <t>2410-84-LE26</t>
        </is>
      </c>
      <c r="B123" s="13" t="inlineStr">
        <is>
          <t>ADQUISICIÓN DE ARTÍCULOS PARA SALA  DE REHABILITACIÓN</t>
        </is>
      </c>
      <c r="C123" s="11" t="n">
        <v>0</v>
      </c>
      <c r="D123" s="13" t="inlineStr">
        <is>
          <t>score 0 &lt; 30</t>
        </is>
      </c>
    </row>
    <row r="124">
      <c r="A124" s="11" t="inlineStr">
        <is>
          <t>2426-41-LE26</t>
        </is>
      </c>
      <c r="B124" s="13" t="inlineStr">
        <is>
          <t>Obras de reforzamiento edificio Nasro Maluk</t>
        </is>
      </c>
      <c r="C124" s="11" t="n">
        <v>8</v>
      </c>
      <c r="D124" s="13" t="inlineStr">
        <is>
          <t>solo mencion de inmueble, sin servicio inmobiliario</t>
        </is>
      </c>
    </row>
    <row r="125">
      <c r="A125" s="11" t="inlineStr">
        <is>
          <t>2426-44-LE26</t>
        </is>
      </c>
      <c r="B125" s="13" t="inlineStr">
        <is>
          <t>CIERRE PERIMETRAL Y MEJ ACERA PARA SEDE SOCIAL</t>
        </is>
      </c>
      <c r="C125" s="11" t="n">
        <v>8</v>
      </c>
      <c r="D125" s="13" t="inlineStr">
        <is>
          <t>solo mencion de inmueble, sin servicio inmobiliario</t>
        </is>
      </c>
    </row>
    <row r="126">
      <c r="A126" s="11" t="inlineStr">
        <is>
          <t>2430-59-LP26</t>
        </is>
      </c>
      <c r="B126" s="13" t="inlineStr">
        <is>
          <t>P.M.U. “HABILITACIÓN ZONA DE JUEGOS PARQUE NICOLÁS TIRADO ANTOFAGASTA”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2430-71-LP26</t>
        </is>
      </c>
      <c r="B127" s="13" t="inlineStr">
        <is>
          <t>CONSERVACIÓN SEDE SOCIAL VILLA EL SALAR ANTOFAGASTA. CÓDIGO BIP N°40058997-0</t>
        </is>
      </c>
      <c r="C127" s="11" t="n">
        <v>8</v>
      </c>
      <c r="D127" s="13" t="inlineStr">
        <is>
          <t>solo mencion de inmueble, sin servicio inmobiliario</t>
        </is>
      </c>
    </row>
    <row r="128">
      <c r="A128" s="11" t="inlineStr">
        <is>
          <t>2445-110-LE26</t>
        </is>
      </c>
      <c r="B128" s="13" t="inlineStr">
        <is>
          <t>HABILITACION DE CASETAS E INST ESTANQUES DE AGUA</t>
        </is>
      </c>
      <c r="C128" s="11" t="n">
        <v>6</v>
      </c>
      <c r="D128" s="13" t="inlineStr">
        <is>
          <t>score 6 &lt; 30</t>
        </is>
      </c>
    </row>
    <row r="129">
      <c r="A129" s="11" t="inlineStr">
        <is>
          <t>2446-243-LP26</t>
        </is>
      </c>
      <c r="B129" s="13" t="inlineStr">
        <is>
          <t>CONSULTORÍA DISEÑO MUSEO COQUIMBO CASA GALLEGUILLO</t>
        </is>
      </c>
      <c r="C129" s="11" t="n">
        <v>5</v>
      </c>
      <c r="D129" s="13" t="inlineStr">
        <is>
          <t>solo mencion de inmueble, sin servicio inmobiliario</t>
        </is>
      </c>
    </row>
    <row r="130">
      <c r="A130" s="11" t="inlineStr">
        <is>
          <t>2448-107-L126</t>
        </is>
      </c>
      <c r="B130" s="13" t="inlineStr">
        <is>
          <t>MEJORAMIENTO DE COMEDOR DE FUNCIONARIOS DROGUERIA  Y BODEGA DESAM</t>
        </is>
      </c>
      <c r="C130" s="11" t="n">
        <v>7</v>
      </c>
      <c r="D130" s="13" t="inlineStr">
        <is>
          <t>solo mencion de inmueble, sin servicio inmobiliario</t>
        </is>
      </c>
    </row>
    <row r="131">
      <c r="A131" s="11" t="inlineStr">
        <is>
          <t>2448-110-L126</t>
        </is>
      </c>
      <c r="B131" s="13" t="inlineStr">
        <is>
          <t>HABILITACION DE ESPACIO DE TRABAJO COLECTIVO CECOSF PUNTA MIRA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2450-90-LE26</t>
        </is>
      </c>
      <c r="B132" s="13" t="inlineStr">
        <is>
          <t>Adquisición de cubre suelos Tiki Tiki y sistema de riego para rehabilitación de espacio público</t>
        </is>
      </c>
      <c r="C132" s="11" t="n">
        <v>10</v>
      </c>
      <c r="D132" s="13" t="inlineStr">
        <is>
          <t>score 10 &lt; 30</t>
        </is>
      </c>
    </row>
    <row r="133">
      <c r="A133" s="11" t="inlineStr">
        <is>
          <t>2452-19-L126</t>
        </is>
      </c>
      <c r="B133" s="13" t="inlineStr">
        <is>
          <t>MEJORAMIENTO DE INFRAESTRUCTURA EN INMUEBLE</t>
        </is>
      </c>
      <c r="C133" s="11" t="n">
        <v>14</v>
      </c>
      <c r="D133" s="13" t="inlineStr">
        <is>
          <t>solo mencion de inmueble, sin servicio inmobiliario</t>
        </is>
      </c>
    </row>
    <row r="134">
      <c r="A134" s="11" t="inlineStr">
        <is>
          <t>2455-46-LP26</t>
        </is>
      </c>
      <c r="B134" s="13" t="inlineStr">
        <is>
          <t>HABILITACIÓN SISTEMA DE TELEVIGILANCIA</t>
        </is>
      </c>
      <c r="C134" s="11" t="n">
        <v>11</v>
      </c>
      <c r="D134" s="13" t="inlineStr">
        <is>
          <t>score 11 &lt; 30</t>
        </is>
      </c>
    </row>
    <row r="135">
      <c r="A135" s="11" t="inlineStr">
        <is>
          <t>2460-112-LE26</t>
        </is>
      </c>
      <c r="B135" s="13" t="inlineStr">
        <is>
          <t>Servicio de Arriendo de Graderías y Tribuna de Honor Desfile en Honor a Las Glorias del Ejército</t>
        </is>
      </c>
      <c r="C135" s="11" t="n">
        <v>0</v>
      </c>
      <c r="D135" s="13" t="inlineStr">
        <is>
          <t>score 0 &lt; 30</t>
        </is>
      </c>
    </row>
    <row r="136">
      <c r="A136" s="11" t="inlineStr">
        <is>
          <t>2460-113-LE26</t>
        </is>
      </c>
      <c r="B136" s="13" t="inlineStr">
        <is>
          <t>Servicio de Arriendo de Vallas Desfile en Honor a las Glorias del Ejército</t>
        </is>
      </c>
      <c r="C136" s="11" t="n">
        <v>0</v>
      </c>
      <c r="D136" s="13" t="inlineStr">
        <is>
          <t>score 0 &lt; 30</t>
        </is>
      </c>
    </row>
    <row r="137">
      <c r="A137" s="11" t="inlineStr">
        <is>
          <t>2460-99-LE26</t>
        </is>
      </c>
      <c r="B137" s="13" t="inlineStr">
        <is>
          <t xml:space="preserve">Mejoras varias para el Departamento de Rentas </t>
        </is>
      </c>
      <c r="C137" s="11" t="n">
        <v>5</v>
      </c>
      <c r="D137" s="13" t="inlineStr">
        <is>
          <t>solo mencion de inmueble, sin servicio inmobiliario</t>
        </is>
      </c>
    </row>
    <row r="138">
      <c r="A138" s="11" t="inlineStr">
        <is>
          <t>2494-79-LP26</t>
        </is>
      </c>
      <c r="B138" s="13" t="inlineStr">
        <is>
          <t>MEJORAMIENTO OFICINA LOCAL DE LA NIÑEZ COYHAIQUE</t>
        </is>
      </c>
      <c r="C138" s="11" t="n">
        <v>13</v>
      </c>
      <c r="D138" s="13" t="inlineStr">
        <is>
          <t>score 13 &lt; 30</t>
        </is>
      </c>
    </row>
    <row r="139">
      <c r="A139" s="11" t="inlineStr">
        <is>
          <t>2546-49-LP26</t>
        </is>
      </c>
      <c r="B139" s="13" t="inlineStr">
        <is>
          <t>PROP PUBL N69 CONSTRUCCION SEDE SOCIAL V. PULMAHUE</t>
        </is>
      </c>
      <c r="C139" s="11" t="n">
        <v>8</v>
      </c>
      <c r="D139" s="13" t="inlineStr">
        <is>
          <t>solo mencion de inmueble, sin servicio inmobiliario</t>
        </is>
      </c>
    </row>
    <row r="140">
      <c r="A140" s="11" t="inlineStr">
        <is>
          <t>2555-10-LP26</t>
        </is>
      </c>
      <c r="B140" s="13" t="inlineStr">
        <is>
          <t>SERVICIO TRASLADO DE PERSONAL DE BRIGADAS SIC 629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2565-14-LP26</t>
        </is>
      </c>
      <c r="B141" s="13" t="inlineStr">
        <is>
          <t>ADQUISICIÓN DE REACTIVOS CON EQUIPOS EN COMODATO</t>
        </is>
      </c>
      <c r="C141" s="11" t="n">
        <v>0</v>
      </c>
      <c r="D141" s="13" t="inlineStr">
        <is>
          <t>score 0 &lt; 30</t>
        </is>
      </c>
    </row>
    <row r="142">
      <c r="A142" s="11" t="inlineStr">
        <is>
          <t>2565-15-LR26</t>
        </is>
      </c>
      <c r="B142" s="13" t="inlineStr">
        <is>
          <t>ADQUISICIÓN DE REACTIVOS DE QUIMICA Y HORMONAS CON EQUIPO EN COMODATO PARA LABORATORIO DEL CESFAM DE CHEPICA</t>
        </is>
      </c>
      <c r="C142" s="11" t="n">
        <v>0</v>
      </c>
      <c r="D142" s="13" t="inlineStr">
        <is>
          <t>score 0 &lt; 30</t>
        </is>
      </c>
    </row>
    <row r="143">
      <c r="A143" s="11" t="inlineStr">
        <is>
          <t>2581-37-LP26</t>
        </is>
      </c>
      <c r="B143" s="13" t="inlineStr">
        <is>
          <t>MEJORAMIENTO EDIFICIO SEGURIDAD PUBLICA COMUNA CONCHALÍ</t>
        </is>
      </c>
      <c r="C143" s="11" t="n">
        <v>8</v>
      </c>
      <c r="D143" s="13" t="inlineStr">
        <is>
          <t>solo mencion de inmueble, sin servicio inmobiliario</t>
        </is>
      </c>
    </row>
    <row r="144">
      <c r="A144" s="11" t="inlineStr">
        <is>
          <t>2582-53-LR26</t>
        </is>
      </c>
      <c r="B144" s="13" t="inlineStr">
        <is>
          <t>CONCESIÓN ESPACIOS VENTA DE SOAP 2027-2029</t>
        </is>
      </c>
      <c r="C144" s="11" t="n">
        <v>10</v>
      </c>
      <c r="D144" s="13" t="inlineStr">
        <is>
          <t>score 10 &lt; 30</t>
        </is>
      </c>
    </row>
    <row r="145">
      <c r="A145" s="11" t="inlineStr">
        <is>
          <t>2585-87-LE26</t>
        </is>
      </c>
      <c r="B145" s="13" t="inlineStr">
        <is>
          <t>ADQ. VEH. ACUATICO Y TODOTERRENO ORD N°167-TURISMO</t>
        </is>
      </c>
      <c r="C145" s="11" t="n">
        <v>0</v>
      </c>
      <c r="D145" s="13" t="inlineStr">
        <is>
          <t>score 0 &lt; 30</t>
        </is>
      </c>
    </row>
    <row r="146">
      <c r="A146" s="11" t="inlineStr">
        <is>
          <t>2591-156-B226</t>
        </is>
      </c>
      <c r="B146" s="13" t="inlineStr">
        <is>
          <t>MEJORAMIENTO SEDE SOCIAL J.V.  N 1 P.ALMONTE</t>
        </is>
      </c>
      <c r="C146" s="11" t="n">
        <v>8</v>
      </c>
      <c r="D146" s="13" t="inlineStr">
        <is>
          <t>solo mencion de inmueble, sin servicio inmobiliario</t>
        </is>
      </c>
    </row>
    <row r="147">
      <c r="A147" s="11" t="inlineStr">
        <is>
          <t>2600-26-LR26</t>
        </is>
      </c>
      <c r="B147" s="13" t="inlineStr">
        <is>
          <t>Concesión Servicio de Estacionamiento Regulados en la vía Pública de Parral</t>
        </is>
      </c>
      <c r="C147" s="11" t="n">
        <v>5</v>
      </c>
      <c r="D147" s="13" t="inlineStr">
        <is>
          <t>solo mencion de inmueble, sin servicio inmobiliario</t>
        </is>
      </c>
    </row>
    <row r="148">
      <c r="A148" s="11" t="inlineStr">
        <is>
          <t>2626-8-LE26</t>
        </is>
      </c>
      <c r="B148" s="13" t="inlineStr">
        <is>
          <t>SERVICIO LIMPIA FOSAS Y ARRIENDO BAÑOS QUÍMICOS</t>
        </is>
      </c>
      <c r="C148" s="11" t="n">
        <v>16</v>
      </c>
      <c r="D148" s="13" t="inlineStr">
        <is>
          <t>score 16 &lt; 30</t>
        </is>
      </c>
    </row>
    <row r="149">
      <c r="A149" s="11" t="inlineStr">
        <is>
          <t>2664-38-L126</t>
        </is>
      </c>
      <c r="B149" s="13" t="inlineStr">
        <is>
          <t>PUERTAS Y VENTANAS PARA AMPLIACION DE SALA ADRRI</t>
        </is>
      </c>
      <c r="C149" s="11" t="n">
        <v>0</v>
      </c>
      <c r="D149" s="13" t="inlineStr">
        <is>
          <t>score 0 &lt; 30</t>
        </is>
      </c>
    </row>
    <row r="150">
      <c r="A150" s="11" t="inlineStr">
        <is>
          <t>2667-39-LR26</t>
        </is>
      </c>
      <c r="B150" s="13" t="inlineStr">
        <is>
          <t>CONSTRUCCIÓN NUEVO EDIFICIO 37° COMISARIA DE VITACURA</t>
        </is>
      </c>
      <c r="C150" s="11" t="n">
        <v>11</v>
      </c>
      <c r="D150" s="13" t="inlineStr">
        <is>
          <t>score 11 &lt; 30</t>
        </is>
      </c>
    </row>
    <row r="151">
      <c r="A151" s="11" t="inlineStr">
        <is>
          <t>2667-83-LE26</t>
        </is>
      </c>
      <c r="B151" s="13" t="inlineStr">
        <is>
          <t>Servicio de Banquetearía y Producción con Recinto Incluido para Ceremonia Día del Profesor y Asistentes de la Educación de los Colegios Municipales de Vitacura Año 2026</t>
        </is>
      </c>
      <c r="C151" s="11" t="n">
        <v>5</v>
      </c>
      <c r="D151" s="13" t="inlineStr">
        <is>
          <t>solo mencion de inmueble, sin servicio inmobiliario</t>
        </is>
      </c>
    </row>
    <row r="152">
      <c r="A152" s="11" t="inlineStr">
        <is>
          <t>2686-120-CO26</t>
        </is>
      </c>
      <c r="B152" s="13" t="inlineStr">
        <is>
          <t>ARRIENDO E INSTALACION DE MODULOS DE OFICINAS</t>
        </is>
      </c>
      <c r="C152" s="11" t="n">
        <v>22</v>
      </c>
      <c r="D152" s="13" t="inlineStr">
        <is>
          <t>score 22 &lt; 30</t>
        </is>
      </c>
    </row>
    <row r="153">
      <c r="A153" s="11" t="inlineStr">
        <is>
          <t>2697-23-LP26</t>
        </is>
      </c>
      <c r="B153" s="13" t="inlineStr">
        <is>
          <t>HABILITACION PLAZA DEPORTIVA EN COSTANERA SECTOR SAN SEBASTIAN</t>
        </is>
      </c>
      <c r="C153" s="11" t="n">
        <v>0</v>
      </c>
      <c r="D153" s="13" t="inlineStr">
        <is>
          <t>score 0 &lt; 30</t>
        </is>
      </c>
    </row>
    <row r="154">
      <c r="A154" s="11" t="inlineStr">
        <is>
          <t>2697-25-LR26</t>
        </is>
      </c>
      <c r="B154" s="13" t="inlineStr">
        <is>
          <t>HABILITACIÓN CASA DE OFICIOS</t>
        </is>
      </c>
      <c r="C154" s="11" t="n">
        <v>11</v>
      </c>
      <c r="D154" s="13" t="inlineStr">
        <is>
          <t>score 11 &lt; 30</t>
        </is>
      </c>
    </row>
    <row r="155">
      <c r="A155" s="11" t="inlineStr">
        <is>
          <t>2699-32-LR26</t>
        </is>
      </c>
      <c r="B155" s="13" t="inlineStr">
        <is>
          <t>Servicio de Arriendo de Flota Vehicular</t>
        </is>
      </c>
      <c r="C155" s="11" t="n">
        <v>0</v>
      </c>
      <c r="D155" s="13" t="inlineStr">
        <is>
          <t>score 0 &lt; 30</t>
        </is>
      </c>
    </row>
    <row r="156">
      <c r="A156" s="11" t="inlineStr">
        <is>
          <t>2702-62-LE26</t>
        </is>
      </c>
      <c r="B156" s="13" t="inlineStr">
        <is>
          <t>SERVICIO DE ARRIENDO BAÑOS QUÍMICOS FIESTA CHILEN</t>
        </is>
      </c>
      <c r="C156" s="11" t="n">
        <v>0</v>
      </c>
      <c r="D156" s="13" t="inlineStr">
        <is>
          <t>score 0 &lt; 30</t>
        </is>
      </c>
    </row>
    <row r="157">
      <c r="A157" s="11" t="inlineStr">
        <is>
          <t>2702-63-LE26</t>
        </is>
      </c>
      <c r="B157" s="13" t="inlineStr">
        <is>
          <t>CONSTRUCCIÓN Y HABILITACIÓN CABALLERIZAS CENTRO DE</t>
        </is>
      </c>
      <c r="C157" s="11" t="n">
        <v>0</v>
      </c>
      <c r="D157" s="13" t="inlineStr">
        <is>
          <t>score 0 &lt; 30</t>
        </is>
      </c>
    </row>
    <row r="158">
      <c r="A158" s="11" t="inlineStr">
        <is>
          <t>2703-175-L126</t>
        </is>
      </c>
      <c r="B158" s="13" t="inlineStr">
        <is>
          <t>SC 12493 Servicio REAS retiro traslado y eliminación de Residuos</t>
        </is>
      </c>
      <c r="C158" s="11" t="n">
        <v>0</v>
      </c>
      <c r="D158" s="13" t="inlineStr">
        <is>
          <t>score 0 &lt; 30</t>
        </is>
      </c>
    </row>
    <row r="159">
      <c r="A159" s="11" t="inlineStr">
        <is>
          <t>2709-77-LE26</t>
        </is>
      </c>
      <c r="B159" s="13" t="inlineStr">
        <is>
          <t>HABILITACION PARQUE RECREACIONAL LOS PEÑONES</t>
        </is>
      </c>
      <c r="C159" s="11" t="n">
        <v>0</v>
      </c>
      <c r="D159" s="13" t="inlineStr">
        <is>
          <t>score 0 &lt; 30</t>
        </is>
      </c>
    </row>
    <row r="160">
      <c r="A160" s="11" t="inlineStr">
        <is>
          <t>2723-61-LR26</t>
        </is>
      </c>
      <c r="B160" s="13" t="inlineStr">
        <is>
          <t>Concesión Estacionamientos Calles Comuna de Buin</t>
        </is>
      </c>
      <c r="C160" s="11" t="n">
        <v>5</v>
      </c>
      <c r="D160" s="13" t="inlineStr">
        <is>
          <t>solo mencion de inmueble, sin servicio inmobiliario</t>
        </is>
      </c>
    </row>
    <row r="161">
      <c r="A161" s="11" t="inlineStr">
        <is>
          <t>2730-113-LE26</t>
        </is>
      </c>
      <c r="B161" s="13" t="inlineStr">
        <is>
          <t>Servicio de Traslado y Movilización Para Distintos  Programas de Dideco</t>
        </is>
      </c>
      <c r="C161" s="11" t="n">
        <v>9</v>
      </c>
      <c r="D161" s="13" t="inlineStr">
        <is>
          <t>score 9 &lt; 30</t>
        </is>
      </c>
    </row>
    <row r="162">
      <c r="A162" s="11" t="inlineStr">
        <is>
          <t>2736-32-LE26</t>
        </is>
      </c>
      <c r="B162" s="13" t="inlineStr">
        <is>
          <t>Materiales de Oficina</t>
        </is>
      </c>
      <c r="C162" s="11" t="n">
        <v>10</v>
      </c>
      <c r="D162" s="13" t="inlineStr">
        <is>
          <t>solo mencion de inmueble, sin servicio inmobiliario</t>
        </is>
      </c>
    </row>
    <row r="163">
      <c r="A163" s="11" t="inlineStr">
        <is>
          <t>2744-30-LE26</t>
        </is>
      </c>
      <c r="B163" s="13" t="inlineStr">
        <is>
          <t>Habilitación Estructural de Sala AIDA CESFAM Alemania</t>
        </is>
      </c>
      <c r="C163" s="11" t="n">
        <v>0</v>
      </c>
      <c r="D163" s="13" t="inlineStr">
        <is>
          <t>score 0 &lt; 30</t>
        </is>
      </c>
    </row>
    <row r="164">
      <c r="A164" s="11" t="inlineStr">
        <is>
          <t>2755-34-LE26</t>
        </is>
      </c>
      <c r="B164" s="13" t="inlineStr">
        <is>
          <t>ADQUISICION DE MOVIL PARA DEPARTAMENTO OPERACIONES</t>
        </is>
      </c>
      <c r="C164" s="11" t="n">
        <v>5</v>
      </c>
      <c r="D164" s="13" t="inlineStr">
        <is>
          <t>solo mencion de inmueble, sin servicio inmobiliario</t>
        </is>
      </c>
    </row>
    <row r="165">
      <c r="A165" s="11" t="inlineStr">
        <is>
          <t>2784-42-LP26</t>
        </is>
      </c>
      <c r="B165" s="13" t="inlineStr">
        <is>
          <t>CONSTRUCCIÓN RECINTO COMUNITARIO LA HIGUERA comuna de La Ligua Cod.40067467-0</t>
        </is>
      </c>
      <c r="C165" s="11" t="n">
        <v>5</v>
      </c>
      <c r="D165" s="13" t="inlineStr">
        <is>
          <t>solo mencion de inmueble, sin servicio inmobiliario</t>
        </is>
      </c>
    </row>
    <row r="166">
      <c r="A166" s="11" t="inlineStr">
        <is>
          <t>2784-44-LE26</t>
        </is>
      </c>
      <c r="B166" s="13" t="inlineStr">
        <is>
          <t>DISEÑO DE  ESPECIALIDADES EDIFICIO CONSISTORIAL</t>
        </is>
      </c>
      <c r="C166" s="11" t="n">
        <v>14</v>
      </c>
      <c r="D166" s="13" t="inlineStr">
        <is>
          <t>score 14 &lt; 30</t>
        </is>
      </c>
    </row>
    <row r="167">
      <c r="A167" s="11" t="inlineStr">
        <is>
          <t>2788-43-LE26</t>
        </is>
      </c>
      <c r="B167" s="13" t="inlineStr">
        <is>
          <t>SERVICIO DE ARRIENDO DE BAÑOS FIESTAS PATRIAS</t>
        </is>
      </c>
      <c r="C167" s="11" t="n">
        <v>0</v>
      </c>
      <c r="D167" s="13" t="inlineStr">
        <is>
          <t>score 0 &lt; 30</t>
        </is>
      </c>
    </row>
    <row r="168">
      <c r="A168" s="11" t="inlineStr">
        <is>
          <t>2793-91-LE26</t>
        </is>
      </c>
      <c r="B168" s="13" t="inlineStr">
        <is>
          <t>HABILITACIÓN PLATABANDA ACCESOS A EDIFICIO PDI COMUNA DE HUECHURABA</t>
        </is>
      </c>
      <c r="C168" s="11" t="n">
        <v>14</v>
      </c>
      <c r="D168" s="13" t="inlineStr">
        <is>
          <t>score 14 &lt; 30</t>
        </is>
      </c>
    </row>
    <row r="169">
      <c r="A169" s="11" t="inlineStr">
        <is>
          <t>2905-40-LP26</t>
        </is>
      </c>
      <c r="B169" s="13" t="inlineStr">
        <is>
          <t>Mejoramiento y Ampliación Sede Social Plazoleta</t>
        </is>
      </c>
      <c r="C169" s="11" t="n">
        <v>8</v>
      </c>
      <c r="D169" s="13" t="inlineStr">
        <is>
          <t>solo mencion de inmueble, sin servicio inmobiliario</t>
        </is>
      </c>
    </row>
    <row r="170">
      <c r="A170" s="11" t="inlineStr">
        <is>
          <t>2905-42-LP26</t>
        </is>
      </c>
      <c r="B170" s="13" t="inlineStr">
        <is>
          <t>Habilitación Oficinas Municipales Calle Alberto C</t>
        </is>
      </c>
      <c r="C170" s="11" t="n">
        <v>16</v>
      </c>
      <c r="D170" s="13" t="inlineStr">
        <is>
          <t>score 16 &lt; 30</t>
        </is>
      </c>
    </row>
    <row r="171">
      <c r="A171" s="11" t="inlineStr">
        <is>
          <t>2963-26-LR26</t>
        </is>
      </c>
      <c r="B171" s="13" t="inlineStr">
        <is>
          <t>SERVICIO DE IMAGENOLOGÍA PARA LOS CENTROS DE SALUD FAMILIAR Y LAS UNIDADES DEPENDIENTES DEL DEPARTAMENTO DE ADMINISTRACIÓN DE SALUD DE LA I. MUNICIPALIDAD DE LA GRANJA”</t>
        </is>
      </c>
      <c r="C171" s="11" t="n">
        <v>5</v>
      </c>
      <c r="D171" s="13" t="inlineStr">
        <is>
          <t>solo mencion de inmueble, sin servicio inmobiliario</t>
        </is>
      </c>
    </row>
    <row r="172">
      <c r="A172" s="11" t="inlineStr">
        <is>
          <t>29-64-LP26</t>
        </is>
      </c>
      <c r="B172" s="13" t="inlineStr">
        <is>
          <t>GTM 54-2026 SERVICIO DE REPOSICIÓN DE VENTANAS</t>
        </is>
      </c>
      <c r="C172" s="11" t="n">
        <v>10</v>
      </c>
      <c r="D172" s="13" t="inlineStr">
        <is>
          <t>score 10 &lt; 30</t>
        </is>
      </c>
    </row>
    <row r="173">
      <c r="A173" s="11" t="inlineStr">
        <is>
          <t>2981-235-LP26</t>
        </is>
      </c>
      <c r="B173" s="13" t="inlineStr">
        <is>
          <t>DEINFRA - HABILITACIÓN MODULARES CECAPRO 2027</t>
        </is>
      </c>
      <c r="C173" s="11" t="n">
        <v>10</v>
      </c>
      <c r="D173" s="13" t="inlineStr">
        <is>
          <t>score 10 &lt; 30</t>
        </is>
      </c>
    </row>
    <row r="174">
      <c r="A174" s="11" t="inlineStr">
        <is>
          <t>2981-236-LR26</t>
        </is>
      </c>
      <c r="B174" s="13" t="inlineStr">
        <is>
          <t>DEINFRA - HABILITACIÓN CECAPRO 2027 COD. BIP 40081088-0</t>
        </is>
      </c>
      <c r="C174" s="11" t="n">
        <v>0</v>
      </c>
      <c r="D174" s="13" t="inlineStr">
        <is>
          <t>score 0 &lt; 30</t>
        </is>
      </c>
    </row>
    <row r="175">
      <c r="A175" s="11" t="inlineStr">
        <is>
          <t>3017-68-LE26</t>
        </is>
      </c>
      <c r="B175" s="13" t="inlineStr">
        <is>
          <t>ADQUISICION DE EQUIPAMIENTO PARA PATRULLAJE PREVENTIVO Y AMPLIACION DE LAS DEPENDENCIAS DE LA DIRECCION DE SEGURIDAD PUBLICA</t>
        </is>
      </c>
      <c r="C175" s="11" t="n">
        <v>8</v>
      </c>
      <c r="D175" s="13" t="inlineStr">
        <is>
          <t>solo mencion de inmueble, sin servicio inmobiliario</t>
        </is>
      </c>
    </row>
    <row r="176">
      <c r="A176" s="11" t="inlineStr">
        <is>
          <t>3069-3-LE26</t>
        </is>
      </c>
      <c r="B176" s="13" t="inlineStr">
        <is>
          <t>Traslado de Pasajeros</t>
        </is>
      </c>
      <c r="C176" s="11" t="n">
        <v>8</v>
      </c>
      <c r="D176" s="13" t="inlineStr">
        <is>
          <t>score 8 &lt; 30</t>
        </is>
      </c>
    </row>
    <row r="177">
      <c r="A177" s="11" t="inlineStr">
        <is>
          <t>3084-31-LE26</t>
        </is>
      </c>
      <c r="B177" s="13" t="inlineStr">
        <is>
          <t>SERVICIO REPARACIÓN DE OFICINAS PARA LA DIRECCIÓN DE TELECOMUNICACIONES E INFORMÁTICA DE LA ARMADA.</t>
        </is>
      </c>
      <c r="C177" s="11" t="n">
        <v>16</v>
      </c>
      <c r="D177" s="13" t="inlineStr">
        <is>
          <t>score 16 &lt; 30</t>
        </is>
      </c>
    </row>
    <row r="178">
      <c r="A178" s="11" t="inlineStr">
        <is>
          <t>3092-18-LE26</t>
        </is>
      </c>
      <c r="B178" s="13" t="inlineStr">
        <is>
          <t>PROVISIÓN DE LOS SERVICIOS DE  LABORATORIO DE CANASTA DE BASICA Y GES APS   BÁSICA Y GES PARA LA DIRECCIÓN DE SALUD MUNICIPAL I.MUNICIPALIDAD DE CASABLANCA 2026</t>
        </is>
      </c>
      <c r="C178" s="11" t="n">
        <v>5</v>
      </c>
      <c r="D178" s="13" t="inlineStr">
        <is>
          <t>solo mencion de inmueble, sin servicio inmobiliario</t>
        </is>
      </c>
    </row>
    <row r="179">
      <c r="A179" s="11" t="inlineStr">
        <is>
          <t>3159-18-LE26</t>
        </is>
      </c>
      <c r="B179" s="13" t="inlineStr">
        <is>
          <t>CAMBIO DE VENTANAS EN VIVIENDAS FISCALES</t>
        </is>
      </c>
      <c r="C179" s="11" t="n">
        <v>0</v>
      </c>
      <c r="D179" s="13" t="inlineStr">
        <is>
          <t>score 0 &lt; 30</t>
        </is>
      </c>
    </row>
    <row r="180">
      <c r="A180" s="11" t="inlineStr">
        <is>
          <t>3172-46-LR26</t>
        </is>
      </c>
      <c r="B180" s="13" t="inlineStr">
        <is>
          <t>PROYECTO AMPLACIÓN ESFOCAR SEDE PUERTO MONTT</t>
        </is>
      </c>
      <c r="C180" s="11" t="n">
        <v>8</v>
      </c>
      <c r="D180" s="13" t="inlineStr">
        <is>
          <t>solo mencion de inmueble, sin servicio inmobiliario</t>
        </is>
      </c>
    </row>
    <row r="181">
      <c r="A181" s="11" t="inlineStr">
        <is>
          <t>3179-44-LE26</t>
        </is>
      </c>
      <c r="B181" s="13" t="inlineStr">
        <is>
          <t>ADQUISICIÓN DE CASACA OPERATIVA CON POLAR</t>
        </is>
      </c>
      <c r="C181" s="11" t="n">
        <v>5</v>
      </c>
      <c r="D181" s="13" t="inlineStr">
        <is>
          <t>solo mencion de inmueble, sin servicio inmobiliario</t>
        </is>
      </c>
    </row>
    <row r="182">
      <c r="A182" s="11" t="inlineStr">
        <is>
          <t>324-48-LP26</t>
        </is>
      </c>
      <c r="B182" s="13" t="inlineStr">
        <is>
          <t>HABILITACION OFICINAS DIRECCION DE TRÁNSITO</t>
        </is>
      </c>
      <c r="C182" s="11" t="n">
        <v>16</v>
      </c>
      <c r="D182" s="13" t="inlineStr">
        <is>
          <t>score 16 &lt; 30</t>
        </is>
      </c>
    </row>
    <row r="183">
      <c r="A183" s="11" t="inlineStr">
        <is>
          <t>3333-32-LE26</t>
        </is>
      </c>
      <c r="B183" s="13" t="inlineStr">
        <is>
          <t>SERV. LEVANTAMIENTO REGISTRO DE INVENTARIO I.M.O</t>
        </is>
      </c>
      <c r="C183" s="11" t="n">
        <v>0</v>
      </c>
      <c r="D183" s="13" t="inlineStr">
        <is>
          <t>score 0 &lt; 30</t>
        </is>
      </c>
    </row>
    <row r="184">
      <c r="A184" s="11" t="inlineStr">
        <is>
          <t>3384-20-LP26</t>
        </is>
      </c>
      <c r="B184" s="13" t="inlineStr">
        <is>
          <t>Arriendo de 28 estaciones de trabajo para el IGM</t>
        </is>
      </c>
      <c r="C184" s="11" t="n">
        <v>0</v>
      </c>
      <c r="D184" s="13" t="inlineStr">
        <is>
          <t>score 0 &lt; 30</t>
        </is>
      </c>
    </row>
    <row r="185">
      <c r="A185" s="11" t="inlineStr">
        <is>
          <t>3436-97-LE26</t>
        </is>
      </c>
      <c r="B185" s="13" t="inlineStr">
        <is>
          <t>Servicio mantenimiento de dependencias SIC 351978</t>
        </is>
      </c>
      <c r="C185" s="11" t="n">
        <v>8</v>
      </c>
      <c r="D185" s="13" t="inlineStr">
        <is>
          <t>solo mencion de inmueble, sin servicio inmobiliario</t>
        </is>
      </c>
    </row>
    <row r="186">
      <c r="A186" s="11" t="inlineStr">
        <is>
          <t>3477-76-LE26</t>
        </is>
      </c>
      <c r="B186" s="13" t="inlineStr">
        <is>
          <t>“MANTENCIÓN Y REPARACIÓN DE EDIFICIO MUNICIPAL”</t>
        </is>
      </c>
      <c r="C186" s="11" t="n">
        <v>8</v>
      </c>
      <c r="D186" s="13" t="inlineStr">
        <is>
          <t>solo mencion de inmueble, sin servicio inmobiliario</t>
        </is>
      </c>
    </row>
    <row r="187">
      <c r="A187" s="11" t="inlineStr">
        <is>
          <t>3525-8-LR26</t>
        </is>
      </c>
      <c r="B187" s="13" t="inlineStr">
        <is>
          <t>Sum e instalación de taludes visita terreno volun</t>
        </is>
      </c>
      <c r="C187" s="11" t="n">
        <v>9</v>
      </c>
      <c r="D187" s="13" t="inlineStr">
        <is>
          <t>solo mencion de inmueble, sin servicio inmobiliario</t>
        </is>
      </c>
    </row>
    <row r="188">
      <c r="A188" s="11" t="inlineStr">
        <is>
          <t>3537-52-LE26</t>
        </is>
      </c>
      <c r="B188" s="13" t="inlineStr">
        <is>
          <t>Arriendo de una autohormigonera por 320 horas</t>
        </is>
      </c>
      <c r="C188" s="11" t="n">
        <v>0</v>
      </c>
      <c r="D188" s="13" t="inlineStr">
        <is>
          <t>score 0 &lt; 30</t>
        </is>
      </c>
    </row>
    <row r="189">
      <c r="A189" s="11" t="inlineStr">
        <is>
          <t>3542-22-LE26</t>
        </is>
      </c>
      <c r="B189" s="13" t="inlineStr">
        <is>
          <t>SERVICIO DE REMODELACIÓN DE OFICINAS DEL TALLER DE MANTENIMIENTO</t>
        </is>
      </c>
      <c r="C189" s="11" t="n">
        <v>10</v>
      </c>
      <c r="D189" s="13" t="inlineStr">
        <is>
          <t>solo mencion de inmueble, sin servicio inmobiliario</t>
        </is>
      </c>
    </row>
    <row r="190">
      <c r="A190" s="11" t="inlineStr">
        <is>
          <t>3611-11-LE26</t>
        </is>
      </c>
      <c r="B190" s="13" t="inlineStr">
        <is>
          <t>Servicio de retiro traslado y eliminación de material cortopunzante residuos médicos y otros del Departamento de Salud Municipal Puerto Saavedra y su CSR de Dominguez</t>
        </is>
      </c>
      <c r="C190" s="11" t="n">
        <v>9</v>
      </c>
      <c r="D190" s="13" t="inlineStr">
        <is>
          <t>score 9 &lt; 30</t>
        </is>
      </c>
    </row>
    <row r="191">
      <c r="A191" s="11" t="inlineStr">
        <is>
          <t>3624-32-LP26</t>
        </is>
      </c>
      <c r="B191" s="13" t="inlineStr">
        <is>
          <t>AMPLIACIÓN CASA DE LA CULTURA NOGALES</t>
        </is>
      </c>
      <c r="C191" s="11" t="n">
        <v>5</v>
      </c>
      <c r="D191" s="13" t="inlineStr">
        <is>
          <t>solo mencion de inmueble, sin servicio inmobiliario</t>
        </is>
      </c>
    </row>
    <row r="192">
      <c r="A192" s="11" t="inlineStr">
        <is>
          <t>3624-33-LP26</t>
        </is>
      </c>
      <c r="B192" s="13" t="inlineStr">
        <is>
          <t>MEJORAMIENTO CASA DE LA CULTURA EL MELÓN</t>
        </is>
      </c>
      <c r="C192" s="11" t="n">
        <v>5</v>
      </c>
      <c r="D192" s="13" t="inlineStr">
        <is>
          <t>solo mencion de inmueble, sin servicio inmobiliario</t>
        </is>
      </c>
    </row>
    <row r="193">
      <c r="A193" s="11" t="inlineStr">
        <is>
          <t>3656-148-LP26</t>
        </is>
      </c>
      <c r="B193" s="13" t="inlineStr">
        <is>
          <t>CONSTRUCCION SEDE SECTOR PIMPINELA COMUNA DE REQUÍNOA</t>
        </is>
      </c>
      <c r="C193" s="11" t="n">
        <v>8</v>
      </c>
      <c r="D193" s="13" t="inlineStr">
        <is>
          <t>solo mencion de inmueble, sin servicio inmobiliario</t>
        </is>
      </c>
    </row>
    <row r="194">
      <c r="A194" s="11" t="inlineStr">
        <is>
          <t>3668-14-LP26</t>
        </is>
      </c>
      <c r="B194" s="13" t="inlineStr">
        <is>
          <t>MEJORAMIENTO CAMARIN Y SEDE ESTADIO LOS BAJOS DE SAN AGUSTÍN CALERA DE TANGO - CÓDIGO BIP N°40069327-0</t>
        </is>
      </c>
      <c r="C194" s="11" t="n">
        <v>8</v>
      </c>
      <c r="D194" s="13" t="inlineStr">
        <is>
          <t>solo mencion de inmueble, sin servicio inmobiliario</t>
        </is>
      </c>
    </row>
    <row r="195">
      <c r="A195" s="11" t="inlineStr">
        <is>
          <t>3671-58-LE26</t>
        </is>
      </c>
      <c r="B195" s="13" t="inlineStr">
        <is>
          <t xml:space="preserve">“HABILITACIÓN DE NUEVAS DEPENDENCIAS DE SEGURIDAD MUNICIPAL E INFORMÁTICA DE LA MUNICIPALIDAD DE CHILLÁN VIEJO” </t>
        </is>
      </c>
      <c r="C195" s="11" t="n">
        <v>14</v>
      </c>
      <c r="D195" s="13" t="inlineStr">
        <is>
          <t>score 14 &lt; 30</t>
        </is>
      </c>
    </row>
    <row r="196">
      <c r="A196" s="11" t="inlineStr">
        <is>
          <t>3693-158-LP26</t>
        </is>
      </c>
      <c r="B196" s="13" t="inlineStr">
        <is>
          <t>CONSTRUCCIÓN SEDE JUNTA DE VECINOS VILLA ALTOS DE ZAÑARTU COMUNA DE EL QUISCO CÓDIGO BIP 40076595-0</t>
        </is>
      </c>
      <c r="C196" s="11" t="n">
        <v>8</v>
      </c>
      <c r="D196" s="13" t="inlineStr">
        <is>
          <t>solo mencion de inmueble, sin servicio inmobiliario</t>
        </is>
      </c>
    </row>
    <row r="197">
      <c r="A197" s="11" t="inlineStr">
        <is>
          <t>3708-39-LE26</t>
        </is>
      </c>
      <c r="B197" s="13" t="inlineStr">
        <is>
          <t>SUMINISTRO DE ALARMAS PARA DEPENDENCIAS</t>
        </is>
      </c>
      <c r="C197" s="11" t="n">
        <v>8</v>
      </c>
      <c r="D197" s="13" t="inlineStr">
        <is>
          <t>solo mencion de inmueble, sin servicio inmobiliario</t>
        </is>
      </c>
    </row>
    <row r="198">
      <c r="A198" s="11" t="inlineStr">
        <is>
          <t>3710-84-L126</t>
        </is>
      </c>
      <c r="B198" s="13" t="inlineStr">
        <is>
          <t>ESCANER PARA BODEGA FARMACIA CESFAM VICTORIA</t>
        </is>
      </c>
      <c r="C198" s="11" t="n">
        <v>7</v>
      </c>
      <c r="D198" s="13" t="inlineStr">
        <is>
          <t>solo mencion de inmueble, sin servicio inmobiliario</t>
        </is>
      </c>
    </row>
    <row r="199">
      <c r="A199" s="11" t="inlineStr">
        <is>
          <t>3775-28-LP26</t>
        </is>
      </c>
      <c r="B199" s="13" t="inlineStr">
        <is>
          <t>HABILITACIÓN SSHH OFICINA Y AU MUN. DE HIJUELAS</t>
        </is>
      </c>
      <c r="C199" s="11" t="n">
        <v>16</v>
      </c>
      <c r="D199" s="13" t="inlineStr">
        <is>
          <t>score 16 &lt; 30</t>
        </is>
      </c>
    </row>
    <row r="200">
      <c r="A200" s="11" t="inlineStr">
        <is>
          <t>3798-13-LP26</t>
        </is>
      </c>
      <c r="B200" s="13" t="inlineStr">
        <is>
          <t>MEJORAMIENTO EDIFICIO CONSISTORIAL EMPEDRADO - BIP 40.068.326-0 - FRIL</t>
        </is>
      </c>
      <c r="C200" s="11" t="n">
        <v>8</v>
      </c>
      <c r="D200" s="13" t="inlineStr">
        <is>
          <t>solo mencion de inmueble, sin servicio inmobiliario</t>
        </is>
      </c>
    </row>
    <row r="201">
      <c r="A201" s="11" t="inlineStr">
        <is>
          <t>3880-61-LE26</t>
        </is>
      </c>
      <c r="B201" s="13" t="inlineStr">
        <is>
          <t>HABILITACION CAMARINES ESCUELA DE COLIN SECPLAN</t>
        </is>
      </c>
      <c r="C201" s="11" t="n">
        <v>6</v>
      </c>
      <c r="D201" s="13" t="inlineStr">
        <is>
          <t>score 6 &lt; 30</t>
        </is>
      </c>
    </row>
    <row r="202">
      <c r="A202" s="11" t="inlineStr">
        <is>
          <t>3882-72-LP26</t>
        </is>
      </c>
      <c r="B202" s="13" t="inlineStr">
        <is>
          <t>MEJORAMIENTO RECINTO CANCHA CLUB DEPORTIVO LAS PALMAS COMUNA DE LLAY LLAY</t>
        </is>
      </c>
      <c r="C202" s="11" t="n">
        <v>5</v>
      </c>
      <c r="D202" s="13" t="inlineStr">
        <is>
          <t>solo mencion de inmueble, sin servicio inmobiliario</t>
        </is>
      </c>
    </row>
    <row r="203">
      <c r="A203" s="11" t="inlineStr">
        <is>
          <t>3882-81-L126</t>
        </is>
      </c>
      <c r="B203" s="13" t="inlineStr">
        <is>
          <t>“SERVICIO DE ARRIENDO DE JUEGOS INFLABLES PARA ACTIVIDADES SECTORIALES DE LA ILUSTRE MUNICIPALIDAD DE LLAY LLAY”.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3882-85-LE26</t>
        </is>
      </c>
      <c r="B204" s="13" t="inlineStr">
        <is>
          <t>MEJORAMIENTO DE NUEVA OFICINA CONTROL I. MUNICIPALIDAD LLAY LLAY COMUNA LLAY LLAY</t>
        </is>
      </c>
      <c r="C204" s="11" t="n">
        <v>10</v>
      </c>
      <c r="D204" s="13" t="inlineStr">
        <is>
          <t>solo mencion de inmueble, sin servicio inmobiliario</t>
        </is>
      </c>
    </row>
    <row r="205">
      <c r="A205" s="11" t="inlineStr">
        <is>
          <t>3887-39-LP26</t>
        </is>
      </c>
      <c r="B205" s="13" t="inlineStr">
        <is>
          <t>Concesion Explotacion Estacionamiento C Villarrica</t>
        </is>
      </c>
      <c r="C205" s="11" t="n">
        <v>5</v>
      </c>
      <c r="D205" s="13" t="inlineStr">
        <is>
          <t>solo mencion de inmueble, sin servicio inmobiliario</t>
        </is>
      </c>
    </row>
    <row r="206">
      <c r="A206" s="11" t="inlineStr">
        <is>
          <t>3889-41-LP26</t>
        </is>
      </c>
      <c r="B206" s="13" t="inlineStr">
        <is>
          <t>MEJORAMIENTO AREA VERDE Y SEDE VILLA CARRANZA</t>
        </is>
      </c>
      <c r="C206" s="11" t="n">
        <v>8</v>
      </c>
      <c r="D206" s="13" t="inlineStr">
        <is>
          <t>solo mencion de inmueble, sin servicio inmobiliario</t>
        </is>
      </c>
    </row>
    <row r="207">
      <c r="A207" s="11" t="inlineStr">
        <is>
          <t>3935-83-LP26</t>
        </is>
      </c>
      <c r="B207" s="13" t="inlineStr">
        <is>
          <t>CONSTRUCCIÓN DE PATIO TECHADO Y HABILITACIÓN DE COCINERÍAS DE GALERÍA MUNICIPAL COMUNA DE FREIRE</t>
        </is>
      </c>
      <c r="C207" s="11" t="n">
        <v>0</v>
      </c>
      <c r="D207" s="13" t="inlineStr">
        <is>
          <t>score 0 &lt; 30</t>
        </is>
      </c>
    </row>
    <row r="208">
      <c r="A208" s="11" t="inlineStr">
        <is>
          <t>3950-40-LE26</t>
        </is>
      </c>
      <c r="B208" s="13" t="inlineStr">
        <is>
          <t>MEJORAMIENTO INTERNO EXTERNO Y LIMPIEZA DE TERRENO EN POSTA DE SALUD RURAL EN LOCALIDAD DE PUERTO AGUIRRE</t>
        </is>
      </c>
      <c r="C208" s="11" t="n">
        <v>15</v>
      </c>
      <c r="D208" s="13" t="inlineStr">
        <is>
          <t>score 15 &lt; 30</t>
        </is>
      </c>
    </row>
    <row r="209">
      <c r="A209" s="11" t="inlineStr">
        <is>
          <t>3997-59-B226</t>
        </is>
      </c>
      <c r="B209" s="13" t="inlineStr">
        <is>
          <t>ADECUACIÓN DEPARTAMENTO DE FINANZAS Y JUZGADO DE POLICÍA LOCAL EN EDIFICIO CONSISTORIAL DE LA MUNICIPALIDAD DE COLTAUCO</t>
        </is>
      </c>
      <c r="C209" s="11" t="n">
        <v>8</v>
      </c>
      <c r="D209" s="13" t="inlineStr">
        <is>
          <t>solo mencion de inmueble, sin servicio inmobiliario</t>
        </is>
      </c>
    </row>
    <row r="210">
      <c r="A210" s="11" t="inlineStr">
        <is>
          <t>4006-21-LE26</t>
        </is>
      </c>
      <c r="B210" s="13" t="inlineStr">
        <is>
          <t>Mejoramiento Area Deportiva Ventanas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4031-14-LE26</t>
        </is>
      </c>
      <c r="B211" s="13" t="inlineStr">
        <is>
          <t>REP. DEL 2 PISO DE LA SEDE SOCIAL DE CHAPIQUILTA</t>
        </is>
      </c>
      <c r="C211" s="11" t="n">
        <v>8</v>
      </c>
      <c r="D211" s="13" t="inlineStr">
        <is>
          <t>solo mencion de inmueble, sin servicio inmobiliario</t>
        </is>
      </c>
    </row>
    <row r="212">
      <c r="A212" s="11" t="inlineStr">
        <is>
          <t>407-113-LP26</t>
        </is>
      </c>
      <c r="B212" s="13" t="inlineStr">
        <is>
          <t>MANTENIMIENTO PREVENTIVO Y CORRECTIVO DE GRUPOS ELECTRÓGENO EDIFICIO CAA Y PSIQUIATRÍA</t>
        </is>
      </c>
      <c r="C212" s="11" t="n">
        <v>8</v>
      </c>
      <c r="D212" s="13" t="inlineStr">
        <is>
          <t>solo mencion de inmueble, sin servicio inmobiliario</t>
        </is>
      </c>
    </row>
    <row r="213">
      <c r="A213" s="11" t="inlineStr">
        <is>
          <t>407-134-LE26</t>
        </is>
      </c>
      <c r="B213" s="13" t="inlineStr">
        <is>
          <t>RETIRO TORRE VENTADA HGGB</t>
        </is>
      </c>
      <c r="C213" s="11" t="n">
        <v>0</v>
      </c>
      <c r="D213" s="13" t="inlineStr">
        <is>
          <t>score 0 &lt; 30</t>
        </is>
      </c>
    </row>
    <row r="214">
      <c r="A214" s="11" t="inlineStr">
        <is>
          <t>4086-43-LE26</t>
        </is>
      </c>
      <c r="B214" s="13" t="inlineStr">
        <is>
          <t>SERVICIO ARRIENDO DE EXCAVADORA</t>
        </is>
      </c>
      <c r="C214" s="11" t="n">
        <v>0</v>
      </c>
      <c r="D214" s="13" t="inlineStr">
        <is>
          <t>score 0 &lt; 30</t>
        </is>
      </c>
    </row>
    <row r="215">
      <c r="A215" s="11" t="inlineStr">
        <is>
          <t>4099-22-LP26</t>
        </is>
      </c>
      <c r="B215" s="13" t="inlineStr">
        <is>
          <t xml:space="preserve">Construcción Sede Las Mercedes Comuna de María Pinto </t>
        </is>
      </c>
      <c r="C215" s="11" t="n">
        <v>8</v>
      </c>
      <c r="D215" s="13" t="inlineStr">
        <is>
          <t>solo mencion de inmueble, sin servicio inmobiliario</t>
        </is>
      </c>
    </row>
    <row r="216">
      <c r="A216" s="11" t="inlineStr">
        <is>
          <t>4121-23-LE26</t>
        </is>
      </c>
      <c r="B216" s="13" t="inlineStr">
        <is>
          <t>HABILITACIÓN SEÑALÉTICA Y REDUCTORES DE VELOCIDAD</t>
        </is>
      </c>
      <c r="C216" s="11" t="n">
        <v>0</v>
      </c>
      <c r="D216" s="13" t="inlineStr">
        <is>
          <t>score 0 &lt; 30</t>
        </is>
      </c>
    </row>
    <row r="217">
      <c r="A217" s="11" t="inlineStr">
        <is>
          <t>4152-28-LE26</t>
        </is>
      </c>
      <c r="B217" s="13" t="inlineStr">
        <is>
          <t>SERVICIO DE REPARACION Y HABILITACION DE VIVIENDAS</t>
        </is>
      </c>
      <c r="C217" s="11" t="n">
        <v>0</v>
      </c>
      <c r="D217" s="13" t="inlineStr">
        <is>
          <t>score 0 &lt; 30</t>
        </is>
      </c>
    </row>
    <row r="218">
      <c r="A218" s="11" t="inlineStr">
        <is>
          <t>418-51-LP26</t>
        </is>
      </c>
      <c r="B218" s="13" t="inlineStr">
        <is>
          <t>CONVENIO SUMINISTRO CON COMODATO MICROBIOLOGÍA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4236-22-L126</t>
        </is>
      </c>
      <c r="B219" s="13" t="inlineStr">
        <is>
          <t>INSTALACIÓN DE VENTANA Y MAMPARA EDIFICIO CONSISTORIAL</t>
        </is>
      </c>
      <c r="C219" s="11" t="n">
        <v>14</v>
      </c>
      <c r="D219" s="13" t="inlineStr">
        <is>
          <t>score 14 &lt; 30</t>
        </is>
      </c>
    </row>
    <row r="220">
      <c r="A220" s="11" t="inlineStr">
        <is>
          <t>4237-12-LR26</t>
        </is>
      </c>
      <c r="B220" s="13" t="inlineStr">
        <is>
          <t>CONCESION DEL SISTEMA DE CONTROL DE ESTACIONAMIENTOS EN LAS VIAS PUBLOICAS EN LA COMUNA DE CONCEPCION II LLAMADO</t>
        </is>
      </c>
      <c r="C220" s="11" t="n">
        <v>5</v>
      </c>
      <c r="D220" s="13" t="inlineStr">
        <is>
          <t>solo mencion de inmueble, sin servicio inmobiliario</t>
        </is>
      </c>
    </row>
    <row r="221">
      <c r="A221" s="11" t="inlineStr">
        <is>
          <t>4238-66-B226</t>
        </is>
      </c>
      <c r="B221" s="13" t="inlineStr">
        <is>
          <t>PROYECTO DE HABILITACION CENTRO DE RESOLUTIVIDAD</t>
        </is>
      </c>
      <c r="C221" s="11" t="n">
        <v>0</v>
      </c>
      <c r="D221" s="13" t="inlineStr">
        <is>
          <t>score 0 &lt; 30</t>
        </is>
      </c>
    </row>
    <row r="222">
      <c r="A222" s="11" t="inlineStr">
        <is>
          <t>4295-41-LP26</t>
        </is>
      </c>
      <c r="B222" s="13" t="inlineStr">
        <is>
          <t>Reposición Sede Comunitaria Francisco de Aguirre</t>
        </is>
      </c>
      <c r="C222" s="11" t="n">
        <v>8</v>
      </c>
      <c r="D222" s="13" t="inlineStr">
        <is>
          <t>solo mencion de inmueble, sin servicio inmobiliario</t>
        </is>
      </c>
    </row>
    <row r="223">
      <c r="A223" s="11" t="inlineStr">
        <is>
          <t>4328-31-B226</t>
        </is>
      </c>
      <c r="B223" s="13" t="inlineStr">
        <is>
          <t>ADQUISICIÓN DE TERRENO SAN GREGORIO ÑIQUÉN</t>
        </is>
      </c>
      <c r="C223" s="11" t="n">
        <v>9</v>
      </c>
      <c r="D223" s="13" t="inlineStr">
        <is>
          <t>solo mencion de inmueble, sin servicio inmobiliario</t>
        </is>
      </c>
    </row>
    <row r="224">
      <c r="A224" s="11" t="inlineStr">
        <is>
          <t>4342-2-LP26</t>
        </is>
      </c>
      <c r="B224" s="13" t="inlineStr">
        <is>
          <t>SERVICIOS PARA LAS DEPENDENCIAS DE LA DRMN</t>
        </is>
      </c>
      <c r="C224" s="11" t="n">
        <v>14</v>
      </c>
      <c r="D224" s="13" t="inlineStr">
        <is>
          <t>score 14 &lt; 30</t>
        </is>
      </c>
    </row>
    <row r="225">
      <c r="A225" s="11" t="inlineStr">
        <is>
          <t>4362-15-LP26</t>
        </is>
      </c>
      <c r="B225" s="13" t="inlineStr">
        <is>
          <t>Construcción Sede Social Las Pozas II Nacimiento</t>
        </is>
      </c>
      <c r="C225" s="11" t="n">
        <v>8</v>
      </c>
      <c r="D225" s="13" t="inlineStr">
        <is>
          <t>solo mencion de inmueble, sin servicio inmobiliario</t>
        </is>
      </c>
    </row>
    <row r="226">
      <c r="A226" s="11" t="inlineStr">
        <is>
          <t>4362-20-LE26</t>
        </is>
      </c>
      <c r="B226" s="13" t="inlineStr">
        <is>
          <t>Extensión Redes AP-AS Sede Las Pozas II</t>
        </is>
      </c>
      <c r="C226" s="11" t="n">
        <v>8</v>
      </c>
      <c r="D226" s="13" t="inlineStr">
        <is>
          <t>solo mencion de inmueble, sin servicio inmobiliario</t>
        </is>
      </c>
    </row>
    <row r="227">
      <c r="A227" s="11" t="inlineStr">
        <is>
          <t>438-49-LE26</t>
        </is>
      </c>
      <c r="B227" s="13" t="inlineStr">
        <is>
          <t>HABILITACION INTERIOR AGUAS LLUVIAS E INSTALACION ELECTRICA Y OTROS PARA LA DROGUERIA MUNICIPAL</t>
        </is>
      </c>
      <c r="C227" s="11" t="n">
        <v>0</v>
      </c>
      <c r="D227" s="13" t="inlineStr">
        <is>
          <t>score 0 &lt; 30</t>
        </is>
      </c>
    </row>
    <row r="228">
      <c r="A228" s="11" t="inlineStr">
        <is>
          <t>439-26-LP26</t>
        </is>
      </c>
      <c r="B228" s="13" t="inlineStr">
        <is>
          <t>HABILITACIÓN DE PATIOS RECREATIVOS ESCUELA MEC</t>
        </is>
      </c>
      <c r="C228" s="11" t="n">
        <v>0</v>
      </c>
      <c r="D228" s="13" t="inlineStr">
        <is>
          <t>score 0 &lt; 30</t>
        </is>
      </c>
    </row>
    <row r="229">
      <c r="A229" s="11" t="inlineStr">
        <is>
          <t>4451-92-LE26</t>
        </is>
      </c>
      <c r="B229" s="13" t="inlineStr">
        <is>
          <t>ARRIENDO DE EQUIPO ELECTROGENO PARA ANIVERSARIO</t>
        </is>
      </c>
      <c r="C229" s="11" t="n">
        <v>0</v>
      </c>
      <c r="D229" s="13" t="inlineStr">
        <is>
          <t>score 0 &lt; 30</t>
        </is>
      </c>
    </row>
    <row r="230">
      <c r="A230" s="11" t="inlineStr">
        <is>
          <t>4457-70-L126</t>
        </is>
      </c>
      <c r="B230" s="13" t="inlineStr">
        <is>
          <t>IMPLEMENTOS PRAPS MAS AMA, EQUIDAD RURAL, REHABILITACIÓN INTEGRAL Y ESPACIOS AMIGABLES.</t>
        </is>
      </c>
      <c r="C230" s="11" t="n">
        <v>0</v>
      </c>
      <c r="D230" s="13" t="inlineStr">
        <is>
          <t>score 0 &lt; 30</t>
        </is>
      </c>
    </row>
    <row r="231">
      <c r="A231" s="11" t="inlineStr">
        <is>
          <t>4591-20-LP26</t>
        </is>
      </c>
      <c r="B231" s="13" t="inlineStr">
        <is>
          <t>arriendo tractor desbrozador Vialidad Prov. Colchagua.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4623-4-L126</t>
        </is>
      </c>
      <c r="B232" s="13" t="inlineStr">
        <is>
          <t>SERVICIO DE REPARACIÓN DE ESTRUCTURA Y PISO DE LA OFICINA DE FISCALIZADORES DE LA INSPECCIÓN COMUNAL DEL TRABAJO TOMÉ</t>
        </is>
      </c>
      <c r="C232" s="11" t="n">
        <v>10</v>
      </c>
      <c r="D232" s="13" t="inlineStr">
        <is>
          <t>solo mencion de inmueble, sin servicio inmobiliario</t>
        </is>
      </c>
    </row>
    <row r="233">
      <c r="A233" s="11" t="inlineStr">
        <is>
          <t>4629-26-LE26</t>
        </is>
      </c>
      <c r="B233" s="13" t="inlineStr">
        <is>
          <t>HABILITACIÓN DE PUESTOS DE TRABAJO DT</t>
        </is>
      </c>
      <c r="C233" s="11" t="n">
        <v>0</v>
      </c>
      <c r="D233" s="13" t="inlineStr">
        <is>
          <t>score 0 &lt; 30</t>
        </is>
      </c>
    </row>
    <row r="234">
      <c r="A234" s="11" t="inlineStr">
        <is>
          <t>4642-91-LP26</t>
        </is>
      </c>
      <c r="B234" s="13" t="inlineStr">
        <is>
          <t xml:space="preserve">PROVISIÓN E INSTALACIÓN DE UN 1 DENSITÓMETRO ÓSEO CON OBRAS DE HABILITACIÓN DESTINADO AL SERVICIO DE IMAGENOLOGÍA DEL HOSPITAL DE CARABINEROS. </t>
        </is>
      </c>
      <c r="C234" s="11" t="n">
        <v>0</v>
      </c>
      <c r="D234" s="13" t="inlineStr">
        <is>
          <t>score 0 &lt; 30</t>
        </is>
      </c>
    </row>
    <row r="235">
      <c r="A235" s="11" t="inlineStr">
        <is>
          <t>4642-93-LP26</t>
        </is>
      </c>
      <c r="B235" s="13" t="inlineStr">
        <is>
          <t>SERVICIO DE OBRAS DE HABILITACIÓN DE LA SALA DE ESTIMULACIÓN TEMPRANA DEL CENTRO MÉDICO Y DENTAL DE VIÑA DEL MAR PERTENECIENTE A LA RED SALUD DE CARABINEROS.</t>
        </is>
      </c>
      <c r="C235" s="11" t="n">
        <v>0</v>
      </c>
      <c r="D235" s="13" t="inlineStr">
        <is>
          <t>score 0 &lt; 30</t>
        </is>
      </c>
    </row>
    <row r="236">
      <c r="A236" s="11" t="inlineStr">
        <is>
          <t>4642-99-LE26</t>
        </is>
      </c>
      <c r="B236" s="13" t="inlineStr">
        <is>
          <t>PROVISIÓN E INSTALACIÓN DE PUERTAS ABATIBLES EN LAS DEPENDENCIAS DEL HOSPITAL DE CARABINEROS.</t>
        </is>
      </c>
      <c r="C236" s="11" t="n">
        <v>8</v>
      </c>
      <c r="D236" s="13" t="inlineStr">
        <is>
          <t>solo mencion de inmueble, sin servicio inmobiliario</t>
        </is>
      </c>
    </row>
    <row r="237">
      <c r="A237" s="11" t="inlineStr">
        <is>
          <t>4644-5-LP26</t>
        </is>
      </c>
      <c r="B237" s="13" t="inlineStr">
        <is>
          <t>TRANSPORTE-CONTRATISTAS Y ARRIENDO MAQ FORESTAL</t>
        </is>
      </c>
      <c r="C237" s="11" t="n">
        <v>0</v>
      </c>
      <c r="D237" s="13" t="inlineStr">
        <is>
          <t>score 0 &lt; 30</t>
        </is>
      </c>
    </row>
    <row r="238">
      <c r="A238" s="11" t="inlineStr">
        <is>
          <t>4850-4-L126</t>
        </is>
      </c>
      <c r="B238" s="13" t="inlineStr">
        <is>
          <t xml:space="preserve">SERVICIO DE PREVENCIÓN Y CONTROL DE PLAGAS PARA LAS DEPENDENCIAS DEL MUSEO GABRIELA MISTRAL DE VICUÑA </t>
        </is>
      </c>
      <c r="C238" s="11" t="n">
        <v>8</v>
      </c>
      <c r="D238" s="13" t="inlineStr">
        <is>
          <t>solo mencion de inmueble, sin servicio inmobiliario</t>
        </is>
      </c>
    </row>
    <row r="239">
      <c r="A239" s="11" t="inlineStr">
        <is>
          <t>4920-12-LE26</t>
        </is>
      </c>
      <c r="B239" s="13" t="inlineStr">
        <is>
          <t>RECAMBIO DE CUBIERTA EDIFICIO DEPARTAMENTO DE SALUD COMUNA DE ROMERAL</t>
        </is>
      </c>
      <c r="C239" s="11" t="n">
        <v>8</v>
      </c>
      <c r="D239" s="13" t="inlineStr">
        <is>
          <t>solo mencion de inmueble, sin servicio inmobiliario</t>
        </is>
      </c>
    </row>
    <row r="240">
      <c r="A240" s="11" t="inlineStr">
        <is>
          <t>4928-21-LP26</t>
        </is>
      </c>
      <c r="B240" s="13" t="inlineStr">
        <is>
          <t xml:space="preserve">CONTRATACIÓN DE MANTENCIÓN CORRECTIVA Y TRASLADO GG.EE. </t>
        </is>
      </c>
      <c r="C240" s="11" t="n">
        <v>0</v>
      </c>
      <c r="D240" s="13" t="inlineStr">
        <is>
          <t>score 0 &lt; 30</t>
        </is>
      </c>
    </row>
    <row r="241">
      <c r="A241" s="11" t="inlineStr">
        <is>
          <t>4956-63-LP26</t>
        </is>
      </c>
      <c r="B241" s="13" t="inlineStr">
        <is>
          <t>CONSTRUCCIÓN SEDE SOCIAL LO BOZA</t>
        </is>
      </c>
      <c r="C241" s="11" t="n">
        <v>8</v>
      </c>
      <c r="D241" s="13" t="inlineStr">
        <is>
          <t>solo mencion de inmueble, sin servicio inmobiliario</t>
        </is>
      </c>
    </row>
    <row r="242">
      <c r="A242" s="11" t="inlineStr">
        <is>
          <t>4956-68-LP26</t>
        </is>
      </c>
      <c r="B242" s="13" t="inlineStr">
        <is>
          <t>REHABILITACIÓN LADERA SUR PONIENTE DEL CERRO COLOR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4967-7-LR26</t>
        </is>
      </c>
      <c r="B243" s="13" t="inlineStr">
        <is>
          <t>CONVENIO DE SUMINISTRO DE SUTURAS ENERGIZADAS + CONSOLAS EN COMODATO</t>
        </is>
      </c>
      <c r="C243" s="11" t="n">
        <v>0</v>
      </c>
      <c r="D243" s="13" t="inlineStr">
        <is>
          <t>score 0 &lt; 30</t>
        </is>
      </c>
    </row>
    <row r="244">
      <c r="A244" s="11" t="inlineStr">
        <is>
          <t>5048-13-O126</t>
        </is>
      </c>
      <c r="B244" s="13" t="inlineStr">
        <is>
          <t>MEJ ESTERO CHAMIL - TRES VENTANAS, REGION DE LOS RIOS</t>
        </is>
      </c>
      <c r="C244" s="11" t="n">
        <v>0</v>
      </c>
      <c r="D244" s="13" t="inlineStr">
        <is>
          <t>score 0 &lt; 30</t>
        </is>
      </c>
    </row>
    <row r="245">
      <c r="A245" s="11" t="inlineStr">
        <is>
          <t>5048-51-O126</t>
        </is>
      </c>
      <c r="B245" s="13" t="inlineStr">
        <is>
          <t>AIF TRES VENTANAS TRAMO 2</t>
        </is>
      </c>
      <c r="C245" s="11" t="n">
        <v>0</v>
      </c>
      <c r="D245" s="13" t="inlineStr">
        <is>
          <t>score 0 &lt; 30</t>
        </is>
      </c>
    </row>
    <row r="246">
      <c r="A246" s="11" t="inlineStr">
        <is>
          <t>5056-102-LP26</t>
        </is>
      </c>
      <c r="B246" s="13" t="inlineStr">
        <is>
          <t>ARRIENDO DE EQUIPOS NO INVASIVOS PARA CARDIOLOGÍA AMBULATORIA</t>
        </is>
      </c>
      <c r="C246" s="11" t="n">
        <v>0</v>
      </c>
      <c r="D246" s="13" t="inlineStr">
        <is>
          <t>score 0 &lt; 30</t>
        </is>
      </c>
    </row>
    <row r="247">
      <c r="A247" s="11" t="inlineStr">
        <is>
          <t>507428-94-LE26</t>
        </is>
      </c>
      <c r="B247" s="13" t="inlineStr">
        <is>
          <t>ADQUISICIÓN DE EQUIPAMIENTO DE TERAPIA FÍSICA PARA REHABILITACIÓN NHA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5194-4-LE26</t>
        </is>
      </c>
      <c r="B248" s="13" t="inlineStr">
        <is>
          <t>Mejora y Habilitación Cancha Futbolito Colina I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520149-35-L126</t>
        </is>
      </c>
      <c r="B249" s="13" t="inlineStr">
        <is>
          <t xml:space="preserve">SERVICIO DE INSTALACIÓN, TRASLADO Y REPARACIÓN DE PUNTOS DE DATOS, PARA LOS EDIFICIOS JOSÉ MIGUEL CARRERA Y SEDE DE LA ACADEMIA DIPLOMÁTICA BAJO LA MODALIDAD DE CONTRATO DE SUMINISTRO. </t>
        </is>
      </c>
      <c r="C249" s="11" t="n">
        <v>12</v>
      </c>
      <c r="D249" s="13" t="inlineStr">
        <is>
          <t>score 12 &lt; 30</t>
        </is>
      </c>
    </row>
    <row r="250">
      <c r="A250" s="11" t="inlineStr">
        <is>
          <t>5240-90-LR26</t>
        </is>
      </c>
      <c r="B250" s="13" t="inlineStr">
        <is>
          <t>SERVICIO DE EMBALAJE MUDANZA Y TRANSPORTE</t>
        </is>
      </c>
      <c r="C250" s="11" t="n">
        <v>0</v>
      </c>
      <c r="D250" s="13" t="inlineStr">
        <is>
          <t>score 0 &lt; 30</t>
        </is>
      </c>
    </row>
    <row r="251">
      <c r="A251" s="11" t="inlineStr">
        <is>
          <t>525512-33-LE26</t>
        </is>
      </c>
      <c r="B251" s="13" t="inlineStr">
        <is>
          <t>Diseño proyecto construcción sede social JJVV</t>
        </is>
      </c>
      <c r="C251" s="11" t="n">
        <v>8</v>
      </c>
      <c r="D251" s="13" t="inlineStr">
        <is>
          <t>solo mencion de inmueble, sin servicio inmobiliario</t>
        </is>
      </c>
    </row>
    <row r="252">
      <c r="A252" s="11" t="inlineStr">
        <is>
          <t>528208-35-LP26</t>
        </is>
      </c>
      <c r="B252" s="13" t="inlineStr">
        <is>
          <t>HABILITACIÓN DE CRUCE SEMAFORIZADO EN CALLES SALVADOR GUTIÉRREZ - RESBALÓN - FANALOZA</t>
        </is>
      </c>
      <c r="C252" s="11" t="n">
        <v>0</v>
      </c>
      <c r="D252" s="13" t="inlineStr">
        <is>
          <t>score 0 &lt; 30</t>
        </is>
      </c>
    </row>
    <row r="253">
      <c r="A253" s="11" t="inlineStr">
        <is>
          <t>5349-90-LR26</t>
        </is>
      </c>
      <c r="B253" s="13" t="inlineStr">
        <is>
          <t>SERVICIOS DE TRANSPORTE INTERURBANO DE LOCOMOCIÓN COLECTIVA PARA TRASLADO DE PACIENTES Y FUNCIONARIOS DEL HOSPITAL</t>
        </is>
      </c>
      <c r="C253" s="11" t="n">
        <v>0</v>
      </c>
      <c r="D253" s="13" t="inlineStr">
        <is>
          <t>score 0 &lt; 30</t>
        </is>
      </c>
    </row>
    <row r="254">
      <c r="A254" s="11" t="inlineStr">
        <is>
          <t>539119-80-LP26</t>
        </is>
      </c>
      <c r="B254" s="13" t="inlineStr">
        <is>
          <t>CONTRATACIÓN DE SERVICIOS DE EMERGENCIAS SANITARIAS REPARACIÓN YO REPOSICIÓN DE REDES DE ALCANTARILLADO AGUA POTABLE Y REDES DE GAS EN INMUEBLES UBICADOS EN LA REGIÓN METROPOLITANA DEPENDIENTE DE LA DIRECCIÓN DE BIENESTAR DE CARABINEROS</t>
        </is>
      </c>
      <c r="C254" s="11" t="n">
        <v>14</v>
      </c>
      <c r="D254" s="13" t="inlineStr">
        <is>
          <t>solo mencion de inmueble, sin servicio inmobiliario</t>
        </is>
      </c>
    </row>
    <row r="255">
      <c r="A255" s="11" t="inlineStr">
        <is>
          <t>539119-81-LE26</t>
        </is>
      </c>
      <c r="B255" s="13" t="inlineStr">
        <is>
          <t>REPARACIÓN E IMPERMEABILIZACIÓN DE CUBIERTA DEL EDIFICIO NORAMBUENA ADMINISTRADO POR LA DIRECCIÓN DE BIENESTAR DE CARABINEROS</t>
        </is>
      </c>
      <c r="C255" s="11" t="n">
        <v>8</v>
      </c>
      <c r="D255" s="13" t="inlineStr">
        <is>
          <t>solo mencion de inmueble, sin servicio inmobiliario</t>
        </is>
      </c>
    </row>
    <row r="256">
      <c r="A256" s="11" t="inlineStr">
        <is>
          <t>539119-85-LP26</t>
        </is>
      </c>
      <c r="B256" s="13" t="inlineStr">
        <is>
          <t>SUMINISTRO POR LÍNEA DE ARTÍCULOS DE ESCRITORIO Y MATERIALES PEDAGÓGICOS PARA JARDINES INFANTILES ADMINISTRADOS POR EL DEPARTAMENTO DE PLANIFICACIÓN Y DESARROLLO SOCIAL B.6 DE LA DIRECCIÓN DE BIENESTAR DE CARABINEROS POR UN PERIODO 12 MESES.</t>
        </is>
      </c>
      <c r="C256" s="11" t="n">
        <v>5</v>
      </c>
      <c r="D256" s="13" t="inlineStr">
        <is>
          <t>solo mencion de inmueble, sin servicio inmobiliario</t>
        </is>
      </c>
    </row>
    <row r="257">
      <c r="A257" s="11" t="inlineStr">
        <is>
          <t>539119-86-LE26</t>
        </is>
      </c>
      <c r="B257" s="13" t="inlineStr">
        <is>
          <t>ADQUISICIÓN DE AMENIDADES PARA EL HOTEL TRIZANO UBICADO EN LA COMUNA DE ÑUÑOA ADMINISTRADO POR EL DEPARTAMENTO RECREACIONAL Y GASTRONÓMICO B.1 DE LA DIRECCIÓN DE BIENESTAR DE CARABINEROS</t>
        </is>
      </c>
      <c r="C257" s="11" t="n">
        <v>5</v>
      </c>
      <c r="D257" s="13" t="inlineStr">
        <is>
          <t>solo mencion de inmueble, sin servicio inmobiliario</t>
        </is>
      </c>
    </row>
    <row r="258">
      <c r="A258" s="11" t="inlineStr">
        <is>
          <t>5413-65-LE26</t>
        </is>
      </c>
      <c r="B258" s="13" t="inlineStr">
        <is>
          <t>SERVICIO DE TRASLADO DE ESTURIONES COYHAIQUE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5413-67-LE26</t>
        </is>
      </c>
      <c r="B259" s="13" t="inlineStr">
        <is>
          <t>REPARACIÓN DE FACHADAS EDIFICIOS CAMPUS CHUYACA</t>
        </is>
      </c>
      <c r="C259" s="11" t="n">
        <v>8</v>
      </c>
      <c r="D259" s="13" t="inlineStr">
        <is>
          <t>solo mencion de inmueble, sin servicio inmobiliario</t>
        </is>
      </c>
    </row>
    <row r="260">
      <c r="A260" s="11" t="inlineStr">
        <is>
          <t>5420-20-LE26</t>
        </is>
      </c>
      <c r="B260" s="13" t="inlineStr">
        <is>
          <t>Diseño eléctrico para normalización de edificios</t>
        </is>
      </c>
      <c r="C260" s="11" t="n">
        <v>8</v>
      </c>
      <c r="D260" s="13" t="inlineStr">
        <is>
          <t>solo mencion de inmueble, sin servicio inmobiliario</t>
        </is>
      </c>
    </row>
    <row r="261">
      <c r="A261" s="11" t="inlineStr">
        <is>
          <t>548874-70-LR26</t>
        </is>
      </c>
      <c r="B261" s="13" t="inlineStr">
        <is>
          <t>SERV MULTIBAM SUCURSALES Y GOBIERNOS EN TERRENO</t>
        </is>
      </c>
      <c r="C261" s="11" t="n">
        <v>9</v>
      </c>
      <c r="D261" s="13" t="inlineStr">
        <is>
          <t>solo mencion de inmueble, sin servicio inmobiliario</t>
        </is>
      </c>
    </row>
    <row r="262">
      <c r="A262" s="11" t="inlineStr">
        <is>
          <t>5520-75-LP26</t>
        </is>
      </c>
      <c r="B262" s="13" t="inlineStr">
        <is>
          <t>Traslado Pasajeros Minera Collahuasi</t>
        </is>
      </c>
      <c r="C262" s="11" t="n">
        <v>0</v>
      </c>
      <c r="D262" s="13" t="inlineStr">
        <is>
          <t>score 0 &lt; 30</t>
        </is>
      </c>
    </row>
    <row r="263">
      <c r="A263" s="11" t="inlineStr">
        <is>
          <t>5558-5-L126</t>
        </is>
      </c>
      <c r="B263" s="13" t="inlineStr">
        <is>
          <t>SERVICIO DE IMPLEMENTACIÓN PUNTO VERDE Y SERVICIO DE RECICLAJE PARA DEPENDENCIAS DEL INSTITUTO DE SEGURIDAD LABORAL EN LA REGIÓN DE LA ARAUCANÍA</t>
        </is>
      </c>
      <c r="C263" s="11" t="n">
        <v>8</v>
      </c>
      <c r="D263" s="13" t="inlineStr">
        <is>
          <t>solo mencion de inmueble, sin servicio inmobiliario</t>
        </is>
      </c>
    </row>
    <row r="264">
      <c r="A264" s="11" t="inlineStr">
        <is>
          <t>557639-74-LE26</t>
        </is>
      </c>
      <c r="B264" s="13" t="inlineStr">
        <is>
          <t>PODA PARA TRES RECINTOS EDUCACIONALES CORMUN</t>
        </is>
      </c>
      <c r="C264" s="11" t="n">
        <v>5</v>
      </c>
      <c r="D264" s="13" t="inlineStr">
        <is>
          <t>solo mencion de inmueble, sin servicio inmobiliario</t>
        </is>
      </c>
    </row>
    <row r="265">
      <c r="A265" s="11" t="inlineStr">
        <is>
          <t>5586-126-LE26</t>
        </is>
      </c>
      <c r="B265" s="13" t="inlineStr">
        <is>
          <t>JG REMODELACIÓN DEPARTAMENTO DE CIRUGÍA 4º PISO EDIFICIO S</t>
        </is>
      </c>
      <c r="C265" s="11" t="n">
        <v>8</v>
      </c>
      <c r="D265" s="13" t="inlineStr">
        <is>
          <t>solo mencion de inmueble, sin servicio inmobiliario</t>
        </is>
      </c>
    </row>
    <row r="266">
      <c r="A266" s="11" t="inlineStr">
        <is>
          <t>568658-43-LR26</t>
        </is>
      </c>
      <c r="B266" s="13" t="inlineStr">
        <is>
          <t xml:space="preserve">COMODATO DE EQUIPAMIENTO MICROBIOLOGIA </t>
        </is>
      </c>
      <c r="C266" s="11" t="n">
        <v>0</v>
      </c>
      <c r="D266" s="13" t="inlineStr">
        <is>
          <t>score 0 &lt; 30</t>
        </is>
      </c>
    </row>
    <row r="267">
      <c r="A267" s="11" t="inlineStr">
        <is>
          <t>607-67-O126</t>
        </is>
      </c>
      <c r="B267" s="13" t="inlineStr">
        <is>
          <t>HABILITACIÓN ESTACIÓN FUNICULAR Y CENTRO DE EXPERIENCIA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608-126-LR26</t>
        </is>
      </c>
      <c r="B268" s="13" t="inlineStr">
        <is>
          <t>SERVICIO DE ARRIENDO DE MÁQUINAS DE HEMODIÁLISIS Y MÁQUINAS DE HEMODIAFILTRACIÓN</t>
        </is>
      </c>
      <c r="C268" s="11" t="n">
        <v>0</v>
      </c>
      <c r="D268" s="13" t="inlineStr">
        <is>
          <t>score 0 &lt; 30</t>
        </is>
      </c>
    </row>
    <row r="269">
      <c r="A269" s="11" t="inlineStr">
        <is>
          <t>622-55-LE26</t>
        </is>
      </c>
      <c r="B269" s="13" t="inlineStr">
        <is>
          <t>CONFECCIÓN E IMPRESIÓN SOBRES 10X23 CON VENTANILLA</t>
        </is>
      </c>
      <c r="C269" s="11" t="n">
        <v>0</v>
      </c>
      <c r="D269" s="13" t="inlineStr">
        <is>
          <t>score 0 &lt; 30</t>
        </is>
      </c>
    </row>
    <row r="270">
      <c r="A270" s="11" t="inlineStr">
        <is>
          <t>622847-13-LE26</t>
        </is>
      </c>
      <c r="B270" s="13" t="inlineStr">
        <is>
          <t>AIFO REPOSICIÓN CERCO PERIMETRAL TERRENO VAITEA RN</t>
        </is>
      </c>
      <c r="C270" s="11" t="n">
        <v>21</v>
      </c>
      <c r="D270" s="13" t="inlineStr">
        <is>
          <t>score 21 &lt; 30</t>
        </is>
      </c>
    </row>
    <row r="271">
      <c r="A271" s="11" t="inlineStr">
        <is>
          <t>627786-14-LE26</t>
        </is>
      </c>
      <c r="B271" s="13" t="inlineStr">
        <is>
          <t>SERVICIO CAMBIO DE PUERTAS Y VENTANAS GRUPO OVALLE</t>
        </is>
      </c>
      <c r="C271" s="11" t="n">
        <v>10</v>
      </c>
      <c r="D271" s="13" t="inlineStr">
        <is>
          <t>score 10 &lt; 30</t>
        </is>
      </c>
    </row>
    <row r="272">
      <c r="A272" s="11" t="inlineStr">
        <is>
          <t>630-24-LE26</t>
        </is>
      </c>
      <c r="B272" s="13" t="inlineStr">
        <is>
          <t>ARRIENDO DISPENSADORES NUEVOS DE AGUA PURIFICADA</t>
        </is>
      </c>
      <c r="C272" s="11" t="n">
        <v>16</v>
      </c>
      <c r="D272" s="13" t="inlineStr">
        <is>
          <t>score 16 &lt; 30</t>
        </is>
      </c>
    </row>
    <row r="273">
      <c r="A273" s="11" t="inlineStr">
        <is>
          <t>633-48-LR26</t>
        </is>
      </c>
      <c r="B273" s="13" t="inlineStr">
        <is>
          <t>SERVICIO DE VENTA DE ENTRADAS PARA ÁREAS PROTEGIDAS AP ADMINISTRADAS POR LA CORPORACIÓN NACIONAL FORESTAL CONAF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634-82-LE26</t>
        </is>
      </c>
      <c r="B274" s="13" t="inlineStr">
        <is>
          <t>REACTIVOS QUÍMICOS PARA EL DEPARTAMENTO DE SEGURI</t>
        </is>
      </c>
      <c r="C274" s="11" t="n">
        <v>5</v>
      </c>
      <c r="D274" s="13" t="inlineStr">
        <is>
          <t>solo mencion de inmueble, sin servicio inmobiliario</t>
        </is>
      </c>
    </row>
    <row r="275">
      <c r="A275" s="11" t="inlineStr">
        <is>
          <t>638-14-O126</t>
        </is>
      </c>
      <c r="B275" s="13" t="inlineStr">
        <is>
          <t>CONSTRUCCIÓN EDIFICIO INSTITUCIONAL MINVU MAGALLANES Y ANTÁRTICA CHILENA</t>
        </is>
      </c>
      <c r="C275" s="11" t="n">
        <v>8</v>
      </c>
      <c r="D275" s="13" t="inlineStr">
        <is>
          <t>solo mencion de inmueble, sin servicio inmobiliario</t>
        </is>
      </c>
    </row>
    <row r="276">
      <c r="A276" s="11" t="inlineStr">
        <is>
          <t>649-8-LE26</t>
        </is>
      </c>
      <c r="B276" s="13" t="inlineStr">
        <is>
          <t>SERVICIO DE MANTENCION Y REPARACION EDIFICIO MINVU ANTOFAGASTA</t>
        </is>
      </c>
      <c r="C276" s="11" t="n">
        <v>8</v>
      </c>
      <c r="D276" s="13" t="inlineStr">
        <is>
          <t>solo mencion de inmueble, sin servicio inmobiliario</t>
        </is>
      </c>
    </row>
    <row r="277">
      <c r="A277" s="11" t="inlineStr">
        <is>
          <t>653-15-O126</t>
        </is>
      </c>
      <c r="B277" s="13" t="inlineStr">
        <is>
          <t>Habilitación de Terrenos Etapa V Lote D y E, Las Americas, Talca</t>
        </is>
      </c>
      <c r="C277" s="11" t="n">
        <v>15</v>
      </c>
      <c r="D277" s="13" t="inlineStr">
        <is>
          <t>score 15 &lt; 30</t>
        </is>
      </c>
    </row>
    <row r="278">
      <c r="A278" s="11" t="inlineStr">
        <is>
          <t>660-10-LE26</t>
        </is>
      </c>
      <c r="B278" s="13" t="inlineStr">
        <is>
          <t>DIAGNÓSTICO Y ELABORACIÓN DEL PLAN MAESTRO</t>
        </is>
      </c>
      <c r="C278" s="11" t="n">
        <v>16</v>
      </c>
      <c r="D278" s="13" t="inlineStr">
        <is>
          <t>score 16 &lt; 30</t>
        </is>
      </c>
    </row>
    <row r="279">
      <c r="A279" s="11" t="inlineStr">
        <is>
          <t>673-3-LE26</t>
        </is>
      </c>
      <c r="B279" s="13" t="inlineStr">
        <is>
          <t>SERVICIO DE MEJORAMIENTO RED SANITARIA EDIFICIO IN</t>
        </is>
      </c>
      <c r="C279" s="11" t="n">
        <v>8</v>
      </c>
      <c r="D279" s="13" t="inlineStr">
        <is>
          <t>solo mencion de inmueble, sin servicio inmobiliario</t>
        </is>
      </c>
    </row>
    <row r="280">
      <c r="A280" s="11" t="inlineStr">
        <is>
          <t>673663-20-LP26</t>
        </is>
      </c>
      <c r="B280" s="13" t="inlineStr">
        <is>
          <t>CONSTRUCCION SEDE SOCIAL EL BOSQUE COMUNA DE ANDA</t>
        </is>
      </c>
      <c r="C280" s="11" t="n">
        <v>8</v>
      </c>
      <c r="D280" s="13" t="inlineStr">
        <is>
          <t>solo mencion de inmueble, sin servicio inmobiliario</t>
        </is>
      </c>
    </row>
    <row r="281">
      <c r="A281" s="11" t="inlineStr">
        <is>
          <t>680-10-LE26</t>
        </is>
      </c>
      <c r="B281" s="13" t="inlineStr">
        <is>
          <t>Suministro e Instalación de Ventanas PVC Europeo</t>
        </is>
      </c>
      <c r="C281" s="11" t="n">
        <v>11</v>
      </c>
      <c r="D281" s="13" t="inlineStr">
        <is>
          <t>score 11 &lt; 30</t>
        </is>
      </c>
    </row>
    <row r="282">
      <c r="A282" s="11" t="inlineStr">
        <is>
          <t>681016-3-L126</t>
        </is>
      </c>
      <c r="B282" s="13" t="inlineStr">
        <is>
          <t>ADQUISICIÓN DE BIDONES DE AGUA PURIFICADA Y DISPENSADORES EN COMODATO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688-11-LP26</t>
        </is>
      </c>
      <c r="B283" s="13" t="inlineStr">
        <is>
          <t>Arriendo Infraestructura de Respaldo</t>
        </is>
      </c>
      <c r="C283" s="11" t="n">
        <v>0</v>
      </c>
      <c r="D283" s="13" t="inlineStr">
        <is>
          <t>score 0 &lt; 30</t>
        </is>
      </c>
    </row>
    <row r="284">
      <c r="A284" s="11" t="inlineStr">
        <is>
          <t>697057-30-LE26</t>
        </is>
      </c>
      <c r="B284" s="13" t="inlineStr">
        <is>
          <t>HABILITACIÓN SALA EIVG FL SANTA CRUZ</t>
        </is>
      </c>
      <c r="C284" s="11" t="n">
        <v>0</v>
      </c>
      <c r="D284" s="13" t="inlineStr">
        <is>
          <t>score 0 &lt; 30</t>
        </is>
      </c>
    </row>
    <row r="285">
      <c r="A285" s="11" t="inlineStr">
        <is>
          <t>697-29-LE26</t>
        </is>
      </c>
      <c r="B285" s="13" t="inlineStr">
        <is>
          <t>Serv. habilitación electrica para equipo trifasico</t>
        </is>
      </c>
      <c r="C285" s="11" t="n">
        <v>10</v>
      </c>
      <c r="D285" s="13" t="inlineStr">
        <is>
          <t>score 10 &lt; 30</t>
        </is>
      </c>
    </row>
    <row r="286">
      <c r="A286" s="11" t="inlineStr">
        <is>
          <t>707420-20-LE26</t>
        </is>
      </c>
      <c r="B286" s="13" t="inlineStr">
        <is>
          <t>SERVICIOS DE MANTENCIÓN DE ÁREAS VERDES PARA JARDINES INFANTILES SALAS CUNA Y OFICINAS TERRITORIALES DE FUNDACIÓN INTEGRA REGIÓN DEL MAULE.</t>
        </is>
      </c>
      <c r="C286" s="11" t="n">
        <v>10</v>
      </c>
      <c r="D286" s="13" t="inlineStr">
        <is>
          <t>solo mencion de inmueble, sin servicio inmobiliario</t>
        </is>
      </c>
    </row>
    <row r="287">
      <c r="A287" s="11" t="inlineStr">
        <is>
          <t>712307-58-O126</t>
        </is>
      </c>
      <c r="B287" s="13" t="inlineStr">
        <is>
          <t>Pavimentos Participativos 35 proceso, Grupo 6, Temuco y Padre Las Casas</t>
        </is>
      </c>
      <c r="C287" s="11" t="n">
        <v>5</v>
      </c>
      <c r="D287" s="13" t="inlineStr">
        <is>
          <t>solo mencion de inmueble, sin servicio inmobiliario</t>
        </is>
      </c>
    </row>
    <row r="288">
      <c r="A288" s="11" t="inlineStr">
        <is>
          <t>732868-3-L126</t>
        </is>
      </c>
      <c r="B288" s="13" t="inlineStr">
        <is>
          <t>“Servicio de Adquisición y Distribución de Bidones de Agua purificada, entrega de dispensadores en comodato para el Juzgado de Letras del Trabajo de San Bernardo”</t>
        </is>
      </c>
      <c r="C288" s="11" t="n">
        <v>0</v>
      </c>
      <c r="D288" s="13" t="inlineStr">
        <is>
          <t>score 0 &lt; 30</t>
        </is>
      </c>
    </row>
    <row r="289">
      <c r="A289" s="11" t="inlineStr">
        <is>
          <t>742475-4-LE26</t>
        </is>
      </c>
      <c r="B289" s="13" t="inlineStr">
        <is>
          <t>Adquisición de equipos informáticos para el programa Oficina Local de la Niñez</t>
        </is>
      </c>
      <c r="C289" s="11" t="n">
        <v>10</v>
      </c>
      <c r="D289" s="13" t="inlineStr">
        <is>
          <t>solo mencion de inmueble, sin servicio inmobiliario</t>
        </is>
      </c>
    </row>
    <row r="290">
      <c r="A290" s="11" t="inlineStr">
        <is>
          <t>742-8-L126</t>
        </is>
      </c>
      <c r="B290" s="13" t="inlineStr">
        <is>
          <t>Mantención Oficina de INDAP Coyhaique, región de Aysén</t>
        </is>
      </c>
      <c r="C290" s="11" t="n">
        <v>10</v>
      </c>
      <c r="D290" s="13" t="inlineStr">
        <is>
          <t>solo mencion de inmueble, sin servicio inmobiliario</t>
        </is>
      </c>
    </row>
    <row r="291">
      <c r="A291" s="11" t="inlineStr">
        <is>
          <t>748201-10-LE26</t>
        </is>
      </c>
      <c r="B291" s="13" t="inlineStr">
        <is>
          <t>SUMINISTRO DE ESPONJA DESECHABLE  JABONOSA PARA LAS FARMACIAS DE LOS CENTROS DE SALUD Y  REHABILITACIÓN CAPREDENA</t>
        </is>
      </c>
      <c r="C291" s="11" t="n">
        <v>0</v>
      </c>
      <c r="D291" s="13" t="inlineStr">
        <is>
          <t>score 0 &lt; 30</t>
        </is>
      </c>
    </row>
    <row r="292">
      <c r="A292" s="11" t="inlineStr">
        <is>
          <t>748201-9-LP26</t>
        </is>
      </c>
      <c r="B292" s="13" t="inlineStr">
        <is>
          <t>SUMINISTRO DE MATRACES E INYECTABLES PARA LAS FARMACIAS DE LOS CENTROS DE SALUD Y REHABILITACIÓN CAPREDENA</t>
        </is>
      </c>
      <c r="C292" s="11" t="n">
        <v>0</v>
      </c>
      <c r="D292" s="13" t="inlineStr">
        <is>
          <t>score 0 &lt; 30</t>
        </is>
      </c>
    </row>
    <row r="293">
      <c r="A293" s="11" t="inlineStr">
        <is>
          <t>768-19-LR26</t>
        </is>
      </c>
      <c r="B293" s="13" t="inlineStr">
        <is>
          <t>REPOSICIÓN SEDE CLUB CULTURAL Y SOCIAL JORGE V</t>
        </is>
      </c>
      <c r="C293" s="11" t="n">
        <v>8</v>
      </c>
      <c r="D293" s="13" t="inlineStr">
        <is>
          <t>solo mencion de inmueble, sin servicio inmobiliario</t>
        </is>
      </c>
    </row>
    <row r="294">
      <c r="A294" s="11" t="inlineStr">
        <is>
          <t>769-84-LP26</t>
        </is>
      </c>
      <c r="B294" s="13" t="inlineStr">
        <is>
          <t>KIT DETECCIÓN VPH POR PCR Y EQUIP. COMODATO PP-88</t>
        </is>
      </c>
      <c r="C294" s="11" t="n">
        <v>0</v>
      </c>
      <c r="D294" s="13" t="inlineStr">
        <is>
          <t>score 0 &lt; 30</t>
        </is>
      </c>
    </row>
    <row r="295">
      <c r="A295" s="11" t="inlineStr">
        <is>
          <t>777304-55-LP26</t>
        </is>
      </c>
      <c r="B295" s="13" t="inlineStr">
        <is>
          <t>SERVICIO DE ARRIENDO DE MESA TRAUMATOLÓGICA</t>
        </is>
      </c>
      <c r="C295" s="11" t="n">
        <v>0</v>
      </c>
      <c r="D295" s="13" t="inlineStr">
        <is>
          <t>score 0 &lt; 30</t>
        </is>
      </c>
    </row>
    <row r="296">
      <c r="A296" s="11" t="inlineStr">
        <is>
          <t>813685-9-LE26</t>
        </is>
      </c>
      <c r="B296" s="13" t="inlineStr">
        <is>
          <t>SERVICIO DE MANTENCIÓN PREVENTIVA A LOS EQUIPOS DE CLIMATIZACIÓN Y REFRIGERACIÓN DE LOS EDIFICIOS DEPENDIENTES DE LA DIRECCIÓN GENERAL DEL TERRITORIO MARITIMO Y DE MARINA MERCANTE</t>
        </is>
      </c>
      <c r="C296" s="11" t="n">
        <v>14</v>
      </c>
      <c r="D296" s="13" t="inlineStr">
        <is>
          <t>score 14 &lt; 30</t>
        </is>
      </c>
    </row>
    <row r="297">
      <c r="A297" s="11" t="inlineStr">
        <is>
          <t>824-3-LE26</t>
        </is>
      </c>
      <c r="B297" s="13" t="inlineStr">
        <is>
          <t>ASES. A LA CONTRAPARTE TÉCN. INVENTARIO MAULE</t>
        </is>
      </c>
      <c r="C297" s="11" t="n">
        <v>19</v>
      </c>
      <c r="D297" s="13" t="inlineStr">
        <is>
          <t>score 19 &lt; 30</t>
        </is>
      </c>
    </row>
    <row r="298">
      <c r="A298" s="11" t="inlineStr">
        <is>
          <t>829-2-O126</t>
        </is>
      </c>
      <c r="B298" s="13" t="inlineStr">
        <is>
          <t>HABILITACION Y AMPLIACION EDIFICIO GORE MAGALLANES-2DO LLAMADO</t>
        </is>
      </c>
      <c r="C298" s="11" t="n">
        <v>14</v>
      </c>
      <c r="D298" s="13" t="inlineStr">
        <is>
          <t>score 14 &lt; 30</t>
        </is>
      </c>
    </row>
    <row r="299">
      <c r="A299" s="11" t="inlineStr">
        <is>
          <t>837-88-LP26</t>
        </is>
      </c>
      <c r="B299" s="13" t="inlineStr">
        <is>
          <t>CDP422 Serv. Mantención de sistemas de renovación de Aérea y Climatización de las sedes del Servicio Médico Legal de Rancagua San Fernando Santa Cruz Puerto Montt Valdivia La Unión y Osorno de la Zona Sur.</t>
        </is>
      </c>
      <c r="C299" s="11" t="n">
        <v>8</v>
      </c>
      <c r="D299" s="13" t="inlineStr">
        <is>
          <t>solo mencion de inmueble, sin servicio inmobiliario</t>
        </is>
      </c>
    </row>
    <row r="300">
      <c r="A300" s="11" t="inlineStr">
        <is>
          <t>838100-6-L126</t>
        </is>
      </c>
      <c r="B300" s="13" t="inlineStr">
        <is>
          <t xml:space="preserve">Contratación del suministro y traslado a requerimiento de agua potable </t>
        </is>
      </c>
      <c r="C300" s="11" t="n">
        <v>0</v>
      </c>
      <c r="D300" s="13" t="inlineStr">
        <is>
          <t>score 0 &lt; 30</t>
        </is>
      </c>
    </row>
    <row r="301">
      <c r="A301" s="11" t="inlineStr">
        <is>
          <t>845-17-LR26</t>
        </is>
      </c>
      <c r="B301" s="13" t="inlineStr">
        <is>
          <t>SERVICIO DE MANTENCIÓN DE EDIFICACIONES JUNJI</t>
        </is>
      </c>
      <c r="C301" s="11" t="n">
        <v>8</v>
      </c>
      <c r="D301" s="13" t="inlineStr">
        <is>
          <t>solo mencion de inmueble, sin servicio inmobiliario</t>
        </is>
      </c>
    </row>
    <row r="302">
      <c r="A302" s="11" t="inlineStr">
        <is>
          <t>854-28-LE26</t>
        </is>
      </c>
      <c r="B302" s="13" t="inlineStr">
        <is>
          <t>ARRIENDO ESPACIO RADIAL JARDIN DISTANCIA JUNJI XI.</t>
        </is>
      </c>
      <c r="C302" s="11" t="n">
        <v>0</v>
      </c>
      <c r="D302" s="13" t="inlineStr">
        <is>
          <t>score 0 &lt; 30</t>
        </is>
      </c>
    </row>
    <row r="303">
      <c r="A303" s="11" t="inlineStr">
        <is>
          <t>867990-59-L126</t>
        </is>
      </c>
      <c r="B303" s="13" t="inlineStr">
        <is>
          <t>cc 102 - sol 91975 servicio de mantenimiento del sistema de calefacción central con visita a terreno</t>
        </is>
      </c>
      <c r="C303" s="11" t="n">
        <v>9</v>
      </c>
      <c r="D303" s="13" t="inlineStr">
        <is>
          <t>solo mencion de inmueble, sin servicio inmobiliario</t>
        </is>
      </c>
    </row>
    <row r="304">
      <c r="A304" s="11" t="inlineStr">
        <is>
          <t>867990-81-L126</t>
        </is>
      </c>
      <c r="B304" s="13" t="inlineStr">
        <is>
          <t>CC 102 SOL 92520 - Contrato servicio de mantención preventiva y puesta en marcha de sistema de presurización de las escaleras del edificio nuevo de la Facultad de Administración y Economía</t>
        </is>
      </c>
      <c r="C304" s="11" t="n">
        <v>8</v>
      </c>
      <c r="D304" s="13" t="inlineStr">
        <is>
          <t>solo mencion de inmueble, sin servicio inmobiliario</t>
        </is>
      </c>
    </row>
    <row r="305">
      <c r="A305" s="11" t="inlineStr">
        <is>
          <t>867990-84-L126</t>
        </is>
      </c>
      <c r="B305" s="13" t="inlineStr">
        <is>
          <t>CDP 92718 CC102 Ejecución del “26-TE-OF-SELLOS BAJO CANALETAS DIMEC, EDIFICIO 710, FACULTAD DE INGENIERÍA”</t>
        </is>
      </c>
      <c r="C305" s="11" t="n">
        <v>8</v>
      </c>
      <c r="D305" s="13" t="inlineStr">
        <is>
          <t>solo mencion de inmueble, sin servicio inmobiliario</t>
        </is>
      </c>
    </row>
    <row r="306">
      <c r="A306" s="11" t="inlineStr">
        <is>
          <t>875646-67-LE26</t>
        </is>
      </c>
      <c r="B306" s="13" t="inlineStr">
        <is>
          <t>SERVICIO DE ARRIENDO DE BRONCOSCOPIO RIGIDO POR 3 MESES</t>
        </is>
      </c>
      <c r="C306" s="11" t="n">
        <v>0</v>
      </c>
      <c r="D306" s="13" t="inlineStr">
        <is>
          <t>score 0 &lt; 30</t>
        </is>
      </c>
    </row>
    <row r="307">
      <c r="A307" s="11" t="inlineStr">
        <is>
          <t>886954-176-LP26</t>
        </is>
      </c>
      <c r="B307" s="13" t="inlineStr">
        <is>
          <t>Convenio De Suministro por Tubos con Sensor y Sonda Estimuladora con equipo en Comodato</t>
        </is>
      </c>
      <c r="C307" s="11" t="n">
        <v>0</v>
      </c>
      <c r="D307" s="13" t="inlineStr">
        <is>
          <t>score 0 &lt; 30</t>
        </is>
      </c>
    </row>
    <row r="308">
      <c r="A308" s="11" t="inlineStr">
        <is>
          <t>886954-222-LR26</t>
        </is>
      </c>
      <c r="B308" s="13" t="inlineStr">
        <is>
          <t>CONVENIO DE SUMINISTRO DE CIRCUITOS Y CANULAS DE ALTO FLUJO NASAL CON EQUIPOS EN COMODATO PARA HGGB</t>
        </is>
      </c>
      <c r="C308" s="11" t="n">
        <v>0</v>
      </c>
      <c r="D308" s="13" t="inlineStr">
        <is>
          <t>score 0 &lt; 30</t>
        </is>
      </c>
    </row>
    <row r="309">
      <c r="A309" s="11" t="inlineStr">
        <is>
          <t>886954-262-LP26</t>
        </is>
      </c>
      <c r="B309" s="13" t="inlineStr">
        <is>
          <t>Convenio suministro anual de Dispositivo de embolización intrasacular con equipo en comodato para la Unidad de Neurovascular del HGGB</t>
        </is>
      </c>
      <c r="C309" s="11" t="n">
        <v>0</v>
      </c>
      <c r="D309" s="13" t="inlineStr">
        <is>
          <t>score 0 &lt; 30</t>
        </is>
      </c>
    </row>
    <row r="310">
      <c r="A310" s="11" t="inlineStr">
        <is>
          <t>886954-297-LP26</t>
        </is>
      </c>
      <c r="B310" s="13" t="inlineStr">
        <is>
          <t>Convenio anual Maleta en tránsito de Set de Ablación con equipo en comodato para la Unidad de Electrofisiología del HGGB</t>
        </is>
      </c>
      <c r="C310" s="11" t="n">
        <v>0</v>
      </c>
      <c r="D310" s="13" t="inlineStr">
        <is>
          <t>score 0 &lt; 30</t>
        </is>
      </c>
    </row>
    <row r="311">
      <c r="A311" s="11" t="inlineStr">
        <is>
          <t>929-23-L126</t>
        </is>
      </c>
      <c r="B311" s="13" t="inlineStr">
        <is>
          <t>Mantenimiento de Instalaciones y Equipos Eléctricos, Oficinas DRM</t>
        </is>
      </c>
      <c r="C311" s="11" t="n">
        <v>10</v>
      </c>
      <c r="D311" s="13" t="inlineStr">
        <is>
          <t>solo mencion de inmueble, sin servicio inmobiliario</t>
        </is>
      </c>
    </row>
    <row r="312">
      <c r="A312" s="11" t="inlineStr">
        <is>
          <t>931-23-LE26</t>
        </is>
      </c>
      <c r="B312" s="13" t="inlineStr">
        <is>
          <t>SERVICIO MANTENCIÓN CANCHA FUTBOL DE PASTO NATURAL RECINTO DEPORTIVO CENDYR LA SERENA</t>
        </is>
      </c>
      <c r="C312" s="11" t="n">
        <v>5</v>
      </c>
      <c r="D312" s="13" t="inlineStr">
        <is>
          <t>solo mencion de inmueble, sin servicio inmobiliario</t>
        </is>
      </c>
    </row>
    <row r="313">
      <c r="A313" s="11" t="inlineStr">
        <is>
          <t>931-25-LE26</t>
        </is>
      </c>
      <c r="B313" s="13" t="inlineStr">
        <is>
          <t>SERVICIOS DE REPARACIÓN DE TECHUMBRE Y SISTEMA DE AGUAS LLUVIAS – CASA DEL DEPORTISTA VICUÑA</t>
        </is>
      </c>
      <c r="C313" s="11" t="n">
        <v>5</v>
      </c>
      <c r="D313" s="13" t="inlineStr">
        <is>
          <t>solo mencion de inmueble, sin servicio inmobiliario</t>
        </is>
      </c>
    </row>
    <row r="314">
      <c r="A314" s="11" t="inlineStr">
        <is>
          <t>931-26-LE26</t>
        </is>
      </c>
      <c r="B314" s="13" t="inlineStr">
        <is>
          <t>SERVICIOS DE REPARACIÓN DE RED AGUA POTABLE Y SERVICIOS HIGIÉNICOS RECINTO CENDYR LA SERENA</t>
        </is>
      </c>
      <c r="C314" s="11" t="n">
        <v>5</v>
      </c>
      <c r="D314" s="13" t="inlineStr">
        <is>
          <t>solo mencion de inmueble, sin servicio inmobiliario</t>
        </is>
      </c>
    </row>
    <row r="315">
      <c r="A315" s="11" t="inlineStr">
        <is>
          <t>931-27-LE26</t>
        </is>
      </c>
      <c r="B315" s="13" t="inlineStr">
        <is>
          <t xml:space="preserve">SERVICIOS DE REPARACIÓN DE CALZADA VEREDA CONSTRUCCIÓN DE CONTENCIÓN Y DRENAJES RECINTO CENDYR LA SERENA </t>
        </is>
      </c>
      <c r="C315" s="11" t="n">
        <v>5</v>
      </c>
      <c r="D315" s="13" t="inlineStr">
        <is>
          <t>solo mencion de inmueble, sin servicio inmobiliario</t>
        </is>
      </c>
    </row>
    <row r="316">
      <c r="A316" s="11" t="inlineStr">
        <is>
          <t>935-22-LE26</t>
        </is>
      </c>
      <c r="B316" s="13" t="inlineStr">
        <is>
          <t>MANT. REP.  MAQ. Y EQUIP. RECINTOS IND XII REGION</t>
        </is>
      </c>
      <c r="C316" s="11" t="n">
        <v>5</v>
      </c>
      <c r="D316" s="13" t="inlineStr">
        <is>
          <t>solo mencion de inmueble, sin servicio inmobiliario</t>
        </is>
      </c>
    </row>
    <row r="317">
      <c r="A317" s="11" t="inlineStr">
        <is>
          <t>948355-68-LP26</t>
        </is>
      </c>
      <c r="B317" s="13" t="inlineStr">
        <is>
          <t xml:space="preserve">ADQUISICIÓN DE TRANSDUCTORES SIMPLES Y DOBLES CON CABLES INTERFASE CON EQUIPO EN COMODATO POR SISTEMA DE SUMINISTRO PARA EL HOSPITAL DIPRECA </t>
        </is>
      </c>
      <c r="C317" s="11" t="n">
        <v>0</v>
      </c>
      <c r="D317" s="13" t="inlineStr">
        <is>
          <t>score 0 &lt; 30</t>
        </is>
      </c>
    </row>
    <row r="318">
      <c r="A318" s="11" t="inlineStr">
        <is>
          <t>948806-117-LP26</t>
        </is>
      </c>
      <c r="B318" s="13" t="inlineStr">
        <is>
          <t>Adquisición de Catéteres para Electrofisiología con Equipo en Comodato en Modalidad de Consignación</t>
        </is>
      </c>
      <c r="C318" s="11" t="n">
        <v>0</v>
      </c>
      <c r="D318" s="13" t="inlineStr">
        <is>
          <t>score 0 &lt; 30</t>
        </is>
      </c>
    </row>
    <row r="319">
      <c r="A319" s="11" t="inlineStr">
        <is>
          <t>956-57-L126</t>
        </is>
      </c>
      <c r="B319" s="13" t="inlineStr">
        <is>
          <t>servicio para atención de niños, niñas y adolescentes con trastorno del espectro autista (Casablanca)</t>
        </is>
      </c>
      <c r="C319" s="11" t="n">
        <v>11</v>
      </c>
      <c r="D319" s="13" t="inlineStr">
        <is>
          <t>score 11 &lt; 30</t>
        </is>
      </c>
    </row>
    <row r="320">
      <c r="A320" s="11" t="inlineStr">
        <is>
          <t>956-58-LE26</t>
        </is>
      </c>
      <c r="B320" s="13" t="inlineStr">
        <is>
          <t>Adquisición Canalización Configuración Instalación y Puesta en Marcha de 16 Access Point en dependencias del nuevo Hospital Claudio Vicuña de San Antonio</t>
        </is>
      </c>
      <c r="C320" s="11" t="n">
        <v>8</v>
      </c>
      <c r="D320" s="13" t="inlineStr">
        <is>
          <t>solo mencion de inmueble, sin servicio inmobiliario</t>
        </is>
      </c>
    </row>
    <row r="321">
      <c r="A321" s="11" t="inlineStr">
        <is>
          <t>957865-6-LE26</t>
        </is>
      </c>
      <c r="B321" s="13" t="inlineStr">
        <is>
          <t>SERV.DE ALMACENAJE TRASLADO Y CUSTODIA DE CAJAS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975-12-O126</t>
        </is>
      </c>
      <c r="B322" s="13" t="inlineStr">
        <is>
          <t>Plan Maestro de Evacuación y Drenaje de Aguas Lluvias de Buin y Paine, RM.</t>
        </is>
      </c>
      <c r="C322" s="11" t="n">
        <v>16</v>
      </c>
      <c r="D322" s="13" t="inlineStr">
        <is>
          <t>score 16 &lt; 30</t>
        </is>
      </c>
    </row>
    <row r="323">
      <c r="A323" s="11" t="inlineStr">
        <is>
          <t>976-14-LP26</t>
        </is>
      </c>
      <c r="B323" s="13" t="inlineStr">
        <is>
          <t>“SERVICIO DE REFORESTACION POR HABILITACIÓN INGRESO A CUARTEL SSEI DEL AEROPUERTO DE PUNTA ARENAS”</t>
        </is>
      </c>
      <c r="C323" s="11" t="n">
        <v>0</v>
      </c>
      <c r="D323" s="13" t="inlineStr">
        <is>
          <t>score 0 &lt; 30</t>
        </is>
      </c>
    </row>
    <row r="324">
      <c r="A324" s="11" t="inlineStr">
        <is>
          <t>979-49-L126</t>
        </is>
      </c>
      <c r="B324" s="13" t="inlineStr">
        <is>
          <t xml:space="preserve">Levantamiento y diseño del proyecto de normalización de la red húmeda para el recinto de Maestranza Central </t>
        </is>
      </c>
      <c r="C324" s="11" t="n">
        <v>5</v>
      </c>
      <c r="D324" s="13" t="inlineStr">
        <is>
          <t>solo mencion de inmueble, sin servicio inmobiliario</t>
        </is>
      </c>
    </row>
    <row r="325">
      <c r="A325" s="11" t="inlineStr">
        <is>
          <t>993-42-LE26</t>
        </is>
      </c>
      <c r="B325" s="13" t="inlineStr">
        <is>
          <t>Servicio Reparación y Mantención Recinto Taltal</t>
        </is>
      </c>
      <c r="C325" s="11" t="n">
        <v>5</v>
      </c>
      <c r="D325" s="13" t="inlineStr">
        <is>
          <t>solo mencion de inmueble, sin servicio inmobiliario</t>
        </is>
      </c>
    </row>
    <row r="326">
      <c r="A326" s="11" t="inlineStr">
        <is>
          <t>993-47-LE26</t>
        </is>
      </c>
      <c r="B326" s="13" t="inlineStr">
        <is>
          <t>CONTROL PLAGAS RECINTOS  FISCALES</t>
        </is>
      </c>
      <c r="C326" s="11" t="n">
        <v>5</v>
      </c>
      <c r="D326" s="13" t="inlineStr">
        <is>
          <t>solo mencion de inmueble, sin servicio inmobiliario</t>
        </is>
      </c>
    </row>
    <row r="327">
      <c r="A327" s="11" t="inlineStr">
        <is>
          <t>996-35-LE26</t>
        </is>
      </c>
      <c r="B327" s="13" t="inlineStr">
        <is>
          <t>CIERRE PERIMETRAL Y PORTON VEHICULAR RECINTO PEÑUELAS</t>
        </is>
      </c>
      <c r="C327" s="11" t="n">
        <v>5</v>
      </c>
      <c r="D327" s="13" t="inlineStr">
        <is>
          <t>solo mencion de inmueble, sin servicio inmobiliario</t>
        </is>
      </c>
    </row>
    <row r="328">
      <c r="A328" s="11" t="inlineStr">
        <is>
          <t>997-32-LP26</t>
        </is>
      </c>
      <c r="B328" s="13" t="inlineStr">
        <is>
          <t>13 días de arriendo  Terminadora de  Asfalto Finisher para apoyo de los trabajos de mezcla asfáltica en  caliente que se realizarán en distintos caminos de la Provincia de Cachapoal y Colchagua perteneciente a la Dirección de Vialidad Región del Lib</t>
        </is>
      </c>
      <c r="C328" s="11" t="n">
        <v>0</v>
      </c>
      <c r="D328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2026-09-02T19:32:43Z</dcterms:created>
  <dcterms:modified xsi:type="dcterms:W3CDTF">2026-09-02T19:32:43Z</dcterms:modified>
</cp:coreProperties>
</file>