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atches" sheetId="2" state="visible" r:id="rId2"/>
    <sheet name="Historico" sheetId="3" state="visible" r:id="rId3"/>
    <sheet name="Bajo umbral" sheetId="4" state="visible" r:id="rId4"/>
    <sheet name="Descartes (auditoria)" sheetId="5" state="visible" r:id="rId5"/>
  </sheets>
  <definedNames>
    <definedName name="_xlnm._FilterDatabase" localSheetId="1" hidden="1">'Matches'!$A$1:$V$3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3B57"/>
      <sz val="15"/>
    </font>
    <font>
      <name val="Arial"/>
      <color rgb="005A6572"/>
      <sz val="10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i val="1"/>
      <color rgb="005A6572"/>
      <sz val="9"/>
    </font>
    <font>
      <name val="Arial"/>
      <b val="1"/>
      <color rgb="00FFFFFF"/>
      <sz val="10"/>
    </font>
    <font>
      <name val="Arial"/>
      <b val="1"/>
      <color rgb="009AA5B1"/>
      <sz val="11"/>
    </font>
    <font>
      <name val="Arial"/>
      <b val="1"/>
      <color rgb="00A32626"/>
      <sz val="10"/>
    </font>
    <font>
      <name val="Arial"/>
      <color rgb="000563C1"/>
      <sz val="10"/>
      <u val="single"/>
    </font>
    <font>
      <name val="Arial"/>
      <b val="1"/>
      <color rgb="00B7791F"/>
      <sz val="10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4">
    <border>
      <left/>
      <right/>
      <top/>
      <bottom/>
      <diagonal/>
    </border>
    <border>
      <bottom style="thin">
        <color rgb="00E3E7EA"/>
      </bottom>
    </border>
    <border>
      <left/>
      <right/>
      <top/>
      <bottom style="thin">
        <color rgb="00E3E7EA"/>
      </bottom>
      <diagonal/>
    </border>
    <border>
      <bottom style="thin">
        <color rgb="00D0D5D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3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0" fillId="0" borderId="2" pivotButton="0" quotePrefix="0" xfId="0"/>
    <xf numFmtId="0" fontId="6" fillId="0" borderId="0" applyAlignment="1" pivotButton="0" quotePrefix="0" xfId="0">
      <alignment vertical="top" wrapText="1"/>
    </xf>
    <xf numFmtId="0" fontId="7" fillId="2" borderId="3" applyAlignment="1" pivotButton="0" quotePrefix="0" xfId="0">
      <alignment vertical="center" wrapText="1"/>
    </xf>
    <xf numFmtId="0" fontId="8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/>
    </xf>
    <xf numFmtId="0" fontId="9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/>
    </xf>
    <xf numFmtId="0" fontId="11" fillId="0" borderId="1" applyAlignment="1" pivotButton="0" quotePrefix="0" xfId="0">
      <alignment vertical="top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mercadopublico.cl/Procurement/Modules/RFB/DetailsAcquisition.aspx?idlicitacion=552578-51-L126" TargetMode="External" Id="rId1" /><Relationship Type="http://schemas.openxmlformats.org/officeDocument/2006/relationships/hyperlink" Target="https://www.mercadopublico.cl/Procurement/Modules/RFB/DetailsAcquisition.aspx?idlicitacion=3621-59-LR26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mercadopublico.cl/Procurement/Modules/RFB/DetailsAcquisition.aspx?idlicitacion=2736-42-LE26" TargetMode="External" Id="rId1" /><Relationship Type="http://schemas.openxmlformats.org/officeDocument/2006/relationships/hyperlink" Target="https://www.mercadopublico.cl/Procurement/Modules/RFB/DetailsAcquisition.aspx?idlicitacion=3241-21-L126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Observatorio de licitaciones — Mercado Publico</t>
        </is>
      </c>
    </row>
    <row r="2">
      <c r="A2" s="2" t="inlineStr">
        <is>
          <t>Corrida 2026-10-16 19:46 · UF 40,864.55 · 4,873 licitaciones activas barridas</t>
        </is>
      </c>
    </row>
    <row r="4">
      <c r="A4" s="3" t="inlineStr">
        <is>
          <t>Indicador</t>
        </is>
      </c>
      <c r="B4" s="3" t="inlineStr">
        <is>
          <t>Valor</t>
        </is>
      </c>
    </row>
    <row r="5">
      <c r="A5" s="4" t="inlineStr">
        <is>
          <t>Matches totales</t>
        </is>
      </c>
      <c r="B5" s="5">
        <f>COUNTA(Matches!P2:P3)</f>
        <v/>
      </c>
    </row>
    <row r="6">
      <c r="A6" s="4" t="inlineStr">
        <is>
          <t>NUEVAS esta corrida</t>
        </is>
      </c>
      <c r="B6" s="5">
        <f>COUNTIF(Matches!A2:A3,"SI")</f>
        <v/>
      </c>
    </row>
    <row r="7">
      <c r="A7" s="4" t="inlineStr">
        <is>
          <t>Con cambios</t>
        </is>
      </c>
      <c r="B7" s="5">
        <f>COUNTIF(Matches!B2:B3,"CAMBIO*")</f>
        <v/>
      </c>
    </row>
    <row r="8">
      <c r="A8" s="4" t="inlineStr">
        <is>
          <t>Prioridad ALTA</t>
        </is>
      </c>
      <c r="B8" s="5">
        <f>COUNTIF(Matches!C2:C3,"ALTA")</f>
        <v/>
      </c>
    </row>
    <row r="9">
      <c r="A9" s="4" t="inlineStr">
        <is>
          <t>Mandatos de servicio</t>
        </is>
      </c>
      <c r="B9" s="5">
        <f>COUNTIF(Matches!E2:E3,"Mandato de SERVICIO")</f>
        <v/>
      </c>
    </row>
    <row r="10">
      <c r="A10" s="4" t="inlineStr">
        <is>
          <t>Estado busca inmueble</t>
        </is>
      </c>
      <c r="B10" s="5">
        <f>COUNTIF(Matches!E2:E3,"Estado BUSCA inmueble")</f>
        <v/>
      </c>
    </row>
    <row r="11">
      <c r="A11" s="4" t="inlineStr">
        <is>
          <t>Estado ofrece inmueble</t>
        </is>
      </c>
      <c r="B11" s="5">
        <f>COUNTIF(Matches!E2:E3,"Estado OFRECE inmueble")</f>
        <v/>
      </c>
    </row>
    <row r="12">
      <c r="A12" s="4" t="inlineStr">
        <is>
          <t>Sugeridas a Gamma</t>
        </is>
      </c>
      <c r="B12" s="5">
        <f>COUNTIF(Matches!G2:G3,"Gamma")</f>
        <v/>
      </c>
    </row>
    <row r="13">
      <c r="A13" s="4" t="inlineStr">
        <is>
          <t>Sugeridas a Realsa Brokers</t>
        </is>
      </c>
      <c r="B13" s="5">
        <f>COUNTIF(Matches!G2:G3,"Realsa Brokers")</f>
        <v/>
      </c>
    </row>
    <row r="14">
      <c r="A14" s="4" t="inlineStr">
        <is>
          <t>Cierran en &lt;= 7 dias</t>
        </is>
      </c>
      <c r="B14" s="5">
        <f>COUNTIFS(Matches!N2:N3,"&lt;=7",Matches!N2:N3,"&gt;=0")</f>
        <v/>
      </c>
    </row>
    <row r="15">
      <c r="A15" s="4" t="inlineStr">
        <is>
          <t>Monto UF agregado (publicado)</t>
        </is>
      </c>
      <c r="B15" s="5">
        <f>SUM(Matches!M2:M3)</f>
        <v/>
      </c>
    </row>
    <row r="16">
      <c r="A16" s="6" t="inlineStr">
        <is>
          <t>Marca de novedad: la columna "Nueva" vale SI cuando la licitacion no aparecia en ninguna corrida anterior; toda la fila queda con fondo verde. Fondo ambar = la licitacion ya estaba en el radar pero cambio de estado, fecha de cierre o monto (el detalle va en la columna "Novedad"). La comparacion se hace contra la hoja Historico, que acumula todas las corridas.</t>
        </is>
      </c>
    </row>
    <row r="17"/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21">
      <c r="A21" s="8" t="inlineStr">
        <is>
          <t>Umbrales aplicados: Region Metropolitana desde UF 500.0 · resto del pais desde UF 2000.0 · minimo 1 dias al cierre. Las licitaciones sin monto publicado NO se descartan: pasan marcadas como "no publicado" (Mercado Publico permite ocultar el monto estimado). Fuente: API oficial api.mercadopublico.cl. Valor UF: mindicador.cl.</t>
        </is>
      </c>
    </row>
    <row r="22"/>
    <row r="23"/>
    <row r="24"/>
  </sheetData>
  <mergeCells count="2">
    <mergeCell ref="A16:H18"/>
    <mergeCell ref="A21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0" customWidth="1" min="3" max="3"/>
    <col width="7" customWidth="1" min="4" max="4"/>
    <col width="22" customWidth="1" min="5" max="5"/>
    <col width="52" customWidth="1" min="6" max="6"/>
    <col width="16" customWidth="1" min="7" max="7"/>
    <col width="52" customWidth="1" min="8" max="8"/>
    <col width="34" customWidth="1" min="9" max="9"/>
    <col width="24" customWidth="1" min="10" max="10"/>
    <col width="6" customWidth="1" min="11" max="11"/>
    <col width="18" customWidth="1" min="12" max="12"/>
    <col width="12" customWidth="1" min="13" max="13"/>
    <col width="13" customWidth="1" min="14" max="14"/>
    <col width="17" customWidth="1" min="15" max="15"/>
    <col width="18" customWidth="1" min="16" max="16"/>
    <col width="46" customWidth="1" min="17" max="17"/>
    <col width="38" customWidth="1" min="18" max="18"/>
    <col width="60" customWidth="1" min="19" max="19"/>
    <col width="22" customWidth="1" min="20" max="20"/>
    <col width="26" customWidth="1" min="21" max="21"/>
    <col width="30" customWidth="1" min="22" max="22"/>
  </cols>
  <sheetData>
    <row r="1" ht="30" customHeight="1">
      <c r="A1" s="9" t="inlineStr">
        <is>
          <t>Nueva</t>
        </is>
      </c>
      <c r="B1" s="9" t="inlineStr">
        <is>
          <t>Novedad</t>
        </is>
      </c>
      <c r="C1" s="9" t="inlineStr">
        <is>
          <t>Prioridad</t>
        </is>
      </c>
      <c r="D1" s="9" t="inlineStr">
        <is>
          <t>Score</t>
        </is>
      </c>
      <c r="E1" s="9" t="inlineStr">
        <is>
          <t>Tipo de oportunidad</t>
        </is>
      </c>
      <c r="F1" s="9" t="inlineStr">
        <is>
          <t>Accion sugerida</t>
        </is>
      </c>
      <c r="G1" s="9" t="inlineStr">
        <is>
          <t>Entidad sugerida</t>
        </is>
      </c>
      <c r="H1" s="9" t="inlineStr">
        <is>
          <t>Nombre</t>
        </is>
      </c>
      <c r="I1" s="9" t="inlineStr">
        <is>
          <t>Organismo</t>
        </is>
      </c>
      <c r="J1" s="9" t="inlineStr">
        <is>
          <t>Region</t>
        </is>
      </c>
      <c r="K1" s="9" t="inlineStr">
        <is>
          <t>Tipo</t>
        </is>
      </c>
      <c r="L1" s="9" t="inlineStr">
        <is>
          <t>Monto publicado</t>
        </is>
      </c>
      <c r="M1" s="9" t="inlineStr">
        <is>
          <t>Monto UF</t>
        </is>
      </c>
      <c r="N1" s="9" t="inlineStr">
        <is>
          <t>Dias al cierre</t>
        </is>
      </c>
      <c r="O1" s="9" t="inlineStr">
        <is>
          <t>Cierre</t>
        </is>
      </c>
      <c r="P1" s="9" t="inlineStr">
        <is>
          <t>Codigo</t>
        </is>
      </c>
      <c r="Q1" s="9" t="inlineStr">
        <is>
          <t>Por que calza</t>
        </is>
      </c>
      <c r="R1" s="9" t="inlineStr">
        <is>
          <t>Razon entidad</t>
        </is>
      </c>
      <c r="S1" s="9" t="inlineStr">
        <is>
          <t>Descripcion</t>
        </is>
      </c>
      <c r="T1" s="9" t="inlineStr">
        <is>
          <t>Contacto</t>
        </is>
      </c>
      <c r="U1" s="9" t="inlineStr">
        <is>
          <t>Email contacto</t>
        </is>
      </c>
      <c r="V1" s="9" t="inlineStr">
        <is>
          <t>URL</t>
        </is>
      </c>
    </row>
    <row r="2" ht="46" customHeight="1">
      <c r="A2" s="10" t="inlineStr">
        <is>
          <t>NO</t>
        </is>
      </c>
      <c r="B2" s="11" t="inlineStr">
        <is>
          <t>VIGENTE</t>
        </is>
      </c>
      <c r="C2" s="12" t="inlineStr">
        <is>
          <t>ALTA</t>
        </is>
      </c>
      <c r="D2" s="11" t="n">
        <v>56</v>
      </c>
      <c r="E2" s="11" t="inlineStr">
        <is>
          <t>Estado OFRECE inmueble</t>
        </is>
      </c>
      <c r="F2" s="13" t="inlineStr">
        <is>
          <t>El organismo vende o concesiona un activo: oportunidad de representar comprador/operador o de asesorar el proceso. Revisar bases y valor minimo.</t>
        </is>
      </c>
      <c r="G2" s="11" t="inlineStr">
        <is>
          <t>Realsa Brokers</t>
        </is>
      </c>
      <c r="H2" s="13" t="inlineStr">
        <is>
          <t>CONCESIÓN DE LOCALES COMERCIALES PASEO SAN RAFAEL SEGUNDO LLAMADO</t>
        </is>
      </c>
      <c r="I2" s="13" t="inlineStr">
        <is>
          <t>I MUNICIPALIDAD DE SAN RAFAEL</t>
        </is>
      </c>
      <c r="J2" s="11" t="inlineStr">
        <is>
          <t>Región del Maule</t>
        </is>
      </c>
      <c r="K2" s="11" t="inlineStr">
        <is>
          <t>L1</t>
        </is>
      </c>
      <c r="L2" s="11" t="inlineStr">
        <is>
          <t>no publicado</t>
        </is>
      </c>
      <c r="M2" s="11" t="n"/>
      <c r="N2" s="11" t="n">
        <v>22</v>
      </c>
      <c r="O2" s="11" t="inlineStr">
        <is>
          <t>2026-10-30 18:00</t>
        </is>
      </c>
      <c r="P2" s="11" t="inlineStr">
        <is>
          <t>552578-51-L126</t>
        </is>
      </c>
      <c r="Q2" s="13" t="inlineStr">
        <is>
          <t>objeto/titulo: locales comerciales (+10) | transaccion/desc: arriendo (+6) | UNSPSC 80131500 (+40)</t>
        </is>
      </c>
      <c r="R2" s="13" t="inlineStr">
        <is>
          <t>proceso menor o sin ponderacion fuerte de experiencia</t>
        </is>
      </c>
      <c r="S2" s="13" t="inlineStr">
        <is>
          <t>Con la intención de fomentar el desarrollo productivo y la participación local de los emprendedores de la comuna de San Rafael, se abre la convocatoria para entregar en arriendo 8 locales comerciales del espacio llamado ‘‘Paseo San Rafael’’, con la finalidad de que dicha comercialización sea de productos de interés para la comunidad. Según Bases Administrativas. SEGUNDO LLAMADO</t>
        </is>
      </c>
      <c r="T2" s="11" t="inlineStr">
        <is>
          <t>Héctor Ramírez Calderón</t>
        </is>
      </c>
      <c r="U2" s="11" t="inlineStr"/>
      <c r="V2" s="14" t="inlineStr">
        <is>
          <t>Ver ficha</t>
        </is>
      </c>
    </row>
    <row r="3" ht="46" customHeight="1">
      <c r="A3" s="10" t="inlineStr">
        <is>
          <t>NO</t>
        </is>
      </c>
      <c r="B3" s="11" t="inlineStr">
        <is>
          <t>VIGENTE</t>
        </is>
      </c>
      <c r="C3" s="15" t="inlineStr">
        <is>
          <t>MEDIA</t>
        </is>
      </c>
      <c r="D3" s="11" t="n">
        <v>49</v>
      </c>
      <c r="E3" s="11" t="inlineStr">
        <is>
          <t>Estado OFRECE inmueble</t>
        </is>
      </c>
      <c r="F3" s="13" t="inlineStr">
        <is>
          <t>El organismo vende o concesiona un activo: oportunidad de representar comprador/operador o de asesorar el proceso. Revisar bases y valor minimo.</t>
        </is>
      </c>
      <c r="G3" s="11" t="inlineStr">
        <is>
          <t>Gamma</t>
        </is>
      </c>
      <c r="H3" s="13" t="inlineStr">
        <is>
          <t>ADQUISICION COMPRA TERRENO CESFAM COMUNA CABILDO</t>
        </is>
      </c>
      <c r="I3" s="13" t="inlineStr">
        <is>
          <t>I MUNICIPALIDAD DE CABILDO</t>
        </is>
      </c>
      <c r="J3" s="11" t="inlineStr">
        <is>
          <t>Región de Valparaíso</t>
        </is>
      </c>
      <c r="K3" s="11" t="inlineStr">
        <is>
          <t>LR</t>
        </is>
      </c>
      <c r="L3" s="11" t="inlineStr">
        <is>
          <t>no publicado</t>
        </is>
      </c>
      <c r="M3" s="11" t="n"/>
      <c r="N3" s="11" t="n">
        <v>28</v>
      </c>
      <c r="O3" s="11" t="inlineStr">
        <is>
          <t>2026-11-09 16:00</t>
        </is>
      </c>
      <c r="P3" s="11" t="inlineStr">
        <is>
          <t>3621-59-LR26</t>
        </is>
      </c>
      <c r="Q3" s="13" t="inlineStr">
        <is>
          <t>objeto/titulo: terreno (+9) | UNSPSC 80131600 (+40)</t>
        </is>
      </c>
      <c r="R3" s="13" t="inlineStr">
        <is>
          <t>exige/pondera experiencia acreditable o es licitacion mayor</t>
        </is>
      </c>
      <c r="S3" s="13" t="inlineStr">
        <is>
          <t>Adquisición de terreno para la construcción del nuevo CESFAM, comuna de Cabildo</t>
        </is>
      </c>
      <c r="T3" s="11" t="inlineStr">
        <is>
          <t>DAVID DONOSO ROJAS</t>
        </is>
      </c>
      <c r="U3" s="11" t="inlineStr"/>
      <c r="V3" s="14" t="inlineStr">
        <is>
          <t>Ver ficha</t>
        </is>
      </c>
    </row>
  </sheetData>
  <autoFilter ref="A1:V3"/>
  <hyperlinks>
    <hyperlink xmlns:r="http://schemas.openxmlformats.org/officeDocument/2006/relationships" ref="V2" r:id="rId1"/>
    <hyperlink xmlns:r="http://schemas.openxmlformats.org/officeDocument/2006/relationships" ref="V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18" customWidth="1" min="3" max="3"/>
    <col width="7" customWidth="1" min="4" max="4"/>
    <col width="18" customWidth="1" min="5" max="5"/>
    <col width="17" customWidth="1" min="6" max="6"/>
    <col width="12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9" t="inlineStr">
        <is>
          <t>Codigo</t>
        </is>
      </c>
      <c r="B1" s="9" t="inlineStr">
        <is>
          <t>Nombre</t>
        </is>
      </c>
      <c r="C1" s="9" t="inlineStr">
        <is>
          <t>Entidad</t>
        </is>
      </c>
      <c r="D1" s="9" t="inlineStr">
        <is>
          <t>Score</t>
        </is>
      </c>
      <c r="E1" s="9" t="inlineStr">
        <is>
          <t>Estado</t>
        </is>
      </c>
      <c r="F1" s="9" t="inlineStr">
        <is>
          <t>Cierre</t>
        </is>
      </c>
      <c r="G1" s="9" t="inlineStr">
        <is>
          <t>Monto UF</t>
        </is>
      </c>
      <c r="H1" s="9" t="inlineStr">
        <is>
          <t>Primera vista</t>
        </is>
      </c>
      <c r="I1" s="9" t="inlineStr">
        <is>
          <t>Ultima vista</t>
        </is>
      </c>
      <c r="J1" s="9" t="inlineStr">
        <is>
          <t>Semanas en radar</t>
        </is>
      </c>
    </row>
    <row r="2">
      <c r="A2" s="11" t="inlineStr">
        <is>
          <t>2403-71-L126</t>
        </is>
      </c>
      <c r="B2" s="13" t="inlineStr">
        <is>
          <t>Servicio de tasación de bienes raíces municipales.</t>
        </is>
      </c>
      <c r="C2" s="11" t="inlineStr">
        <is>
          <t>Gamma</t>
        </is>
      </c>
      <c r="D2" s="11" t="n">
        <v>80</v>
      </c>
      <c r="E2" s="11" t="inlineStr">
        <is>
          <t>Publicada</t>
        </is>
      </c>
      <c r="F2" s="11" t="inlineStr">
        <is>
          <t>2026-10-02 15:30</t>
        </is>
      </c>
      <c r="G2" s="11" t="n"/>
      <c r="H2" s="11" t="inlineStr">
        <is>
          <t>2026-09-26</t>
        </is>
      </c>
      <c r="I2" s="11" t="inlineStr">
        <is>
          <t>2026-09-30</t>
        </is>
      </c>
      <c r="J2" s="11" t="n">
        <v>3</v>
      </c>
    </row>
    <row r="3">
      <c r="A3" s="11" t="inlineStr">
        <is>
          <t>3994-21-L126</t>
        </is>
      </c>
      <c r="B3" s="13" t="inlineStr">
        <is>
          <t>SERVICIO DE TASACION COMERCIAL DE INMUEBLE</t>
        </is>
      </c>
      <c r="C3" s="11" t="inlineStr">
        <is>
          <t>Realsa Brokers</t>
        </is>
      </c>
      <c r="D3" s="11" t="n">
        <v>78</v>
      </c>
      <c r="E3" s="11" t="inlineStr">
        <is>
          <t>Publicada</t>
        </is>
      </c>
      <c r="F3" s="11" t="inlineStr">
        <is>
          <t>2026-08-26 15:00</t>
        </is>
      </c>
      <c r="G3" s="11" t="n"/>
      <c r="H3" s="11" t="inlineStr">
        <is>
          <t>2026-08-25</t>
        </is>
      </c>
      <c r="I3" s="11" t="inlineStr">
        <is>
          <t>2026-08-25</t>
        </is>
      </c>
      <c r="J3" s="11" t="n">
        <v>8</v>
      </c>
    </row>
    <row r="4">
      <c r="A4" s="11" t="inlineStr">
        <is>
          <t>2760-98-LE26</t>
        </is>
      </c>
      <c r="B4" s="13" t="inlineStr">
        <is>
          <t>ARRIENDO DE INMUEBLE PARA BODEGA Y ARCHIVOS INMEDIATOS DE DISTINTAS DIRECCIONES MUNICIPALES</t>
        </is>
      </c>
      <c r="C4" s="11" t="inlineStr">
        <is>
          <t>Realsa Brokers</t>
        </is>
      </c>
      <c r="D4" s="11" t="n">
        <v>66</v>
      </c>
      <c r="E4" s="11" t="inlineStr">
        <is>
          <t>Publicada</t>
        </is>
      </c>
      <c r="F4" s="11" t="inlineStr">
        <is>
          <t>2026-08-26 15:00</t>
        </is>
      </c>
      <c r="G4" s="11" t="n"/>
      <c r="H4" s="11" t="inlineStr">
        <is>
          <t>2026-08-25</t>
        </is>
      </c>
      <c r="I4" s="11" t="inlineStr">
        <is>
          <t>2026-08-25</t>
        </is>
      </c>
      <c r="J4" s="11" t="n">
        <v>8</v>
      </c>
    </row>
    <row r="5">
      <c r="A5" s="11" t="inlineStr">
        <is>
          <t>1743-64-LE26</t>
        </is>
      </c>
      <c r="B5" s="13" t="inlineStr">
        <is>
          <t>SERVICIO DE ARRIENDO INMUEBLES PARA OFICINAS</t>
        </is>
      </c>
      <c r="C5" s="11" t="inlineStr">
        <is>
          <t>Realsa Brokers</t>
        </is>
      </c>
      <c r="D5" s="11" t="n">
        <v>66</v>
      </c>
      <c r="E5" s="11" t="inlineStr">
        <is>
          <t>Publicada</t>
        </is>
      </c>
      <c r="F5" s="11" t="inlineStr">
        <is>
          <t>2026-08-31 16:00</t>
        </is>
      </c>
      <c r="G5" s="11" t="n"/>
      <c r="H5" s="11" t="inlineStr">
        <is>
          <t>2026-08-25</t>
        </is>
      </c>
      <c r="I5" s="11" t="inlineStr">
        <is>
          <t>2026-08-29</t>
        </is>
      </c>
      <c r="J5" s="11" t="n">
        <v>8</v>
      </c>
    </row>
    <row r="6">
      <c r="A6" s="11" t="inlineStr">
        <is>
          <t>2495-16-CO26</t>
        </is>
      </c>
      <c r="B6" s="13" t="inlineStr">
        <is>
          <t>ARRIENDO DE INMUEBLE PARA OFICINA Y RESIDENCIA</t>
        </is>
      </c>
      <c r="C6" s="11" t="inlineStr">
        <is>
          <t>Realsa Brokers</t>
        </is>
      </c>
      <c r="D6" s="11" t="n">
        <v>66</v>
      </c>
      <c r="E6" s="11" t="inlineStr">
        <is>
          <t>Publicada</t>
        </is>
      </c>
      <c r="F6" s="11" t="inlineStr">
        <is>
          <t>2026-08-31 16:00</t>
        </is>
      </c>
      <c r="G6" s="11" t="n"/>
      <c r="H6" s="11" t="inlineStr">
        <is>
          <t>2026-08-25</t>
        </is>
      </c>
      <c r="I6" s="11" t="inlineStr">
        <is>
          <t>2026-08-29</t>
        </is>
      </c>
      <c r="J6" s="11" t="n">
        <v>8</v>
      </c>
    </row>
    <row r="7">
      <c r="A7" s="11" t="inlineStr">
        <is>
          <t>2359-13-LP26</t>
        </is>
      </c>
      <c r="B7" s="13" t="inlineStr">
        <is>
          <t>ARRIENDO DE INMUEBLES 2026-2028</t>
        </is>
      </c>
      <c r="C7" s="11" t="inlineStr">
        <is>
          <t>Gamma</t>
        </is>
      </c>
      <c r="D7" s="11" t="n">
        <v>66</v>
      </c>
      <c r="E7" s="11" t="inlineStr">
        <is>
          <t>Publicada</t>
        </is>
      </c>
      <c r="F7" s="11" t="inlineStr">
        <is>
          <t>2026-09-08 15:30</t>
        </is>
      </c>
      <c r="G7" s="11" t="n"/>
      <c r="H7" s="11" t="inlineStr">
        <is>
          <t>2026-08-25</t>
        </is>
      </c>
      <c r="I7" s="11" t="inlineStr">
        <is>
          <t>2026-09-06</t>
        </is>
      </c>
      <c r="J7" s="11" t="n">
        <v>8</v>
      </c>
    </row>
    <row r="8">
      <c r="A8" s="11" t="inlineStr">
        <is>
          <t>2713-157-LP26</t>
        </is>
      </c>
      <c r="B8" s="13" t="inlineStr">
        <is>
          <t>Servicio de arriendo - Folio 852 - DIDECO</t>
        </is>
      </c>
      <c r="C8" s="11" t="inlineStr">
        <is>
          <t>Gamma</t>
        </is>
      </c>
      <c r="D8" s="11" t="n">
        <v>59</v>
      </c>
      <c r="E8" s="11" t="inlineStr">
        <is>
          <t>Publicada</t>
        </is>
      </c>
      <c r="F8" s="11" t="inlineStr">
        <is>
          <t>2026-09-02 09:30</t>
        </is>
      </c>
      <c r="G8" s="11" t="n">
        <v>3523</v>
      </c>
      <c r="H8" s="11" t="inlineStr">
        <is>
          <t>2026-08-25</t>
        </is>
      </c>
      <c r="I8" s="11" t="inlineStr">
        <is>
          <t>2026-08-29</t>
        </is>
      </c>
      <c r="J8" s="11" t="n">
        <v>8</v>
      </c>
    </row>
    <row r="9">
      <c r="A9" s="11" t="inlineStr">
        <is>
          <t>552578-38-L126</t>
        </is>
      </c>
      <c r="B9" s="13" t="inlineStr">
        <is>
          <t>CONCESIÓN DE LOCALES COMERCIALES PASEO SAN RAFAEL</t>
        </is>
      </c>
      <c r="C9" s="11" t="inlineStr">
        <is>
          <t>Realsa Brokers</t>
        </is>
      </c>
      <c r="D9" s="11" t="n">
        <v>56</v>
      </c>
      <c r="E9" s="11" t="inlineStr">
        <is>
          <t>Publicada</t>
        </is>
      </c>
      <c r="F9" s="11" t="inlineStr">
        <is>
          <t>2026-08-27 18:00</t>
        </is>
      </c>
      <c r="G9" s="11" t="n"/>
      <c r="H9" s="11" t="inlineStr">
        <is>
          <t>2026-08-25</t>
        </is>
      </c>
      <c r="I9" s="11" t="inlineStr">
        <is>
          <t>2026-08-25</t>
        </is>
      </c>
      <c r="J9" s="11" t="n">
        <v>8</v>
      </c>
    </row>
    <row r="10">
      <c r="A10" s="11" t="inlineStr">
        <is>
          <t>552578-51-L126</t>
        </is>
      </c>
      <c r="B10" s="13" t="inlineStr">
        <is>
          <t>CONCESIÓN DE LOCALES COMERCIALES PASEO SAN RAFAEL SEGUNDO LLAMADO</t>
        </is>
      </c>
      <c r="C10" s="11" t="inlineStr">
        <is>
          <t>Realsa Brokers</t>
        </is>
      </c>
      <c r="D10" s="11" t="n">
        <v>56</v>
      </c>
      <c r="E10" s="11" t="inlineStr">
        <is>
          <t>Publicada</t>
        </is>
      </c>
      <c r="F10" s="11" t="inlineStr">
        <is>
          <t>2026-10-30 18:00</t>
        </is>
      </c>
      <c r="G10" s="11" t="n"/>
      <c r="H10" s="11" t="inlineStr">
        <is>
          <t>2026-10-08</t>
        </is>
      </c>
      <c r="I10" s="11" t="inlineStr">
        <is>
          <t>2026-10-16</t>
        </is>
      </c>
      <c r="J10" s="11" t="n">
        <v>2</v>
      </c>
    </row>
    <row r="11">
      <c r="A11" s="11" t="inlineStr">
        <is>
          <t>4295-54-LR26</t>
        </is>
      </c>
      <c r="B11" s="13" t="inlineStr">
        <is>
          <t>VENTA DE TERRENOS DE PROPIEDAD MUNICIPAL LA SERENA</t>
        </is>
      </c>
      <c r="C11" s="11" t="inlineStr">
        <is>
          <t>Gamma</t>
        </is>
      </c>
      <c r="D11" s="11" t="n">
        <v>55</v>
      </c>
      <c r="E11" s="11" t="inlineStr">
        <is>
          <t>Publicada</t>
        </is>
      </c>
      <c r="F11" s="11" t="inlineStr">
        <is>
          <t>2026-10-14 15:00</t>
        </is>
      </c>
      <c r="G11" s="11" t="n"/>
      <c r="H11" s="11" t="inlineStr">
        <is>
          <t>2026-08-25</t>
        </is>
      </c>
      <c r="I11" s="11" t="inlineStr">
        <is>
          <t>2026-10-12</t>
        </is>
      </c>
      <c r="J11" s="11" t="n">
        <v>8</v>
      </c>
    </row>
    <row r="12">
      <c r="A12" s="11" t="inlineStr">
        <is>
          <t>5358-9-LR26</t>
        </is>
      </c>
      <c r="B12" s="13" t="inlineStr">
        <is>
          <t>ADQUISICIÓN DE TERRENO PARA PROYECTO EDUCACIONAL U</t>
        </is>
      </c>
      <c r="C12" s="11" t="inlineStr">
        <is>
          <t>Gamma</t>
        </is>
      </c>
      <c r="D12" s="11" t="n">
        <v>49</v>
      </c>
      <c r="E12" s="11" t="inlineStr">
        <is>
          <t>Publicada</t>
        </is>
      </c>
      <c r="F12" s="11" t="inlineStr">
        <is>
          <t>2026-10-16 15:01</t>
        </is>
      </c>
      <c r="G12" s="11" t="n">
        <v>122355</v>
      </c>
      <c r="H12" s="11" t="inlineStr">
        <is>
          <t>2026-08-25</t>
        </is>
      </c>
      <c r="I12" s="11" t="inlineStr">
        <is>
          <t>2026-10-12</t>
        </is>
      </c>
      <c r="J12" s="11" t="n">
        <v>8</v>
      </c>
    </row>
    <row r="13">
      <c r="A13" s="11" t="inlineStr">
        <is>
          <t>3621-59-LR26</t>
        </is>
      </c>
      <c r="B13" s="13" t="inlineStr">
        <is>
          <t>ADQUISICION COMPRA TERRENO CESFAM COMUNA CABILDO</t>
        </is>
      </c>
      <c r="C13" s="11" t="inlineStr">
        <is>
          <t>Gamma</t>
        </is>
      </c>
      <c r="D13" s="11" t="n">
        <v>49</v>
      </c>
      <c r="E13" s="11" t="inlineStr">
        <is>
          <t>Publicada</t>
        </is>
      </c>
      <c r="F13" s="11" t="inlineStr">
        <is>
          <t>2026-11-09 16:00</t>
        </is>
      </c>
      <c r="G13" s="11" t="n"/>
      <c r="H13" s="11" t="inlineStr">
        <is>
          <t>2026-10-12</t>
        </is>
      </c>
      <c r="I13" s="11" t="inlineStr">
        <is>
          <t>2026-10-16</t>
        </is>
      </c>
      <c r="J13" s="11" t="n">
        <v>1</v>
      </c>
    </row>
    <row r="14">
      <c r="A14" s="11" t="inlineStr">
        <is>
          <t>1063538-206-I226</t>
        </is>
      </c>
      <c r="B14" s="13" t="inlineStr">
        <is>
          <t>“ARRIENDO DE CELDAS DE MEDIA TENSION MT”</t>
        </is>
      </c>
      <c r="C14" s="11" t="inlineStr">
        <is>
          <t>Realsa Brokers</t>
        </is>
      </c>
      <c r="D14" s="11" t="n">
        <v>40</v>
      </c>
      <c r="E14" s="11" t="inlineStr">
        <is>
          <t>Publicada</t>
        </is>
      </c>
      <c r="F14" s="11" t="inlineStr">
        <is>
          <t>2026-09-28 17:00</t>
        </is>
      </c>
      <c r="G14" s="11" t="n"/>
      <c r="H14" s="11" t="inlineStr">
        <is>
          <t>2026-08-29</t>
        </is>
      </c>
      <c r="I14" s="11" t="inlineStr">
        <is>
          <t>2026-09-26</t>
        </is>
      </c>
      <c r="J14" s="11" t="n">
        <v>7</v>
      </c>
    </row>
    <row r="15">
      <c r="A15" s="11" t="inlineStr">
        <is>
          <t>867990-62-LE26</t>
        </is>
      </c>
      <c r="B15" s="13" t="inlineStr">
        <is>
          <t>CDP 91352 - CC 102 — TASACIÓN DE BIENES INMUEBLES</t>
        </is>
      </c>
      <c r="C15" s="11" t="inlineStr">
        <is>
          <t>Realsa Brokers</t>
        </is>
      </c>
      <c r="D15" s="11" t="n">
        <v>38</v>
      </c>
      <c r="E15" s="11" t="inlineStr">
        <is>
          <t>Publicada</t>
        </is>
      </c>
      <c r="F15" s="11" t="inlineStr">
        <is>
          <t>2026-08-31 15:00</t>
        </is>
      </c>
      <c r="G15" s="11" t="n">
        <v>1101</v>
      </c>
      <c r="H15" s="11" t="inlineStr">
        <is>
          <t>2026-08-25</t>
        </is>
      </c>
      <c r="I15" s="11" t="inlineStr">
        <is>
          <t>2026-08-29</t>
        </is>
      </c>
      <c r="J15" s="1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2" customWidth="1" min="2" max="2"/>
    <col width="34" customWidth="1" min="3" max="3"/>
    <col width="24" customWidth="1" min="4" max="4"/>
    <col width="6" customWidth="1" min="5" max="5"/>
    <col width="18" customWidth="1" min="6" max="6"/>
    <col width="12" customWidth="1" min="7" max="7"/>
    <col width="30" customWidth="1" min="8" max="8"/>
    <col width="17" customWidth="1" min="9" max="9"/>
    <col width="38" customWidth="1" min="10" max="10"/>
    <col width="18" customWidth="1" min="11" max="11"/>
    <col width="30" customWidth="1" min="12" max="12"/>
  </cols>
  <sheetData>
    <row r="1" ht="30" customHeight="1">
      <c r="A1" s="9" t="inlineStr">
        <is>
          <t>Score</t>
        </is>
      </c>
      <c r="B1" s="9" t="inlineStr">
        <is>
          <t>Nombre</t>
        </is>
      </c>
      <c r="C1" s="9" t="inlineStr">
        <is>
          <t>Organismo</t>
        </is>
      </c>
      <c r="D1" s="9" t="inlineStr">
        <is>
          <t>Region</t>
        </is>
      </c>
      <c r="E1" s="9" t="inlineStr">
        <is>
          <t>Tipo</t>
        </is>
      </c>
      <c r="F1" s="9" t="inlineStr">
        <is>
          <t>Monto publicado</t>
        </is>
      </c>
      <c r="G1" s="9" t="inlineStr">
        <is>
          <t>Monto UF</t>
        </is>
      </c>
      <c r="H1" s="9" t="inlineStr">
        <is>
          <t>Rango estimado por tipo</t>
        </is>
      </c>
      <c r="I1" s="9" t="inlineStr">
        <is>
          <t>Cierre</t>
        </is>
      </c>
      <c r="J1" s="9" t="inlineStr">
        <is>
          <t>Por que no entro</t>
        </is>
      </c>
      <c r="K1" s="9" t="inlineStr">
        <is>
          <t>Codigo</t>
        </is>
      </c>
      <c r="L1" s="9" t="inlineStr">
        <is>
          <t>URL</t>
        </is>
      </c>
    </row>
    <row r="2" ht="42" customHeight="1">
      <c r="A2" s="11" t="n">
        <v>66</v>
      </c>
      <c r="B2" s="13" t="inlineStr">
        <is>
          <t>Arriendo de inmueble</t>
        </is>
      </c>
      <c r="C2" s="13" t="inlineStr">
        <is>
          <t>I MUNICIPALIDAD DE ANGOL</t>
        </is>
      </c>
      <c r="D2" s="11" t="inlineStr">
        <is>
          <t>Región de la Araucanía</t>
        </is>
      </c>
      <c r="E2" s="11" t="inlineStr">
        <is>
          <t>LE</t>
        </is>
      </c>
      <c r="F2" s="11" t="inlineStr">
        <is>
          <t>CLP 31,200,000</t>
        </is>
      </c>
      <c r="G2" s="11" t="n">
        <v>763</v>
      </c>
      <c r="H2" s="11" t="inlineStr">
        <is>
          <t>100-1.000 UTM (~UF 170-1.700)</t>
        </is>
      </c>
      <c r="I2" s="11" t="inlineStr">
        <is>
          <t>2026-10-26 15:04</t>
        </is>
      </c>
      <c r="J2" s="13" t="inlineStr">
        <is>
          <t>bajo umbral de monto (Nacional, UF 763 (umbral UF 2.000))</t>
        </is>
      </c>
      <c r="K2" s="11" t="inlineStr">
        <is>
          <t>2736-42-LE26</t>
        </is>
      </c>
      <c r="L2" s="14" t="inlineStr">
        <is>
          <t>Ver ficha</t>
        </is>
      </c>
    </row>
    <row r="3" ht="42" customHeight="1">
      <c r="A3" s="11" t="n">
        <v>33</v>
      </c>
      <c r="B3" s="13" t="inlineStr">
        <is>
          <t xml:space="preserve">SERVICIO DE TASACIÓN COMERCIAL DE TERRENO FISCAL </t>
        </is>
      </c>
      <c r="C3" s="13" t="inlineStr">
        <is>
          <t>DIRECCION DE ABASTECIMIENTO DE LA ARMADA</t>
        </is>
      </c>
      <c r="D3" s="11" t="inlineStr">
        <is>
          <t>Región de Magallanes y de la Antártica</t>
        </is>
      </c>
      <c r="E3" s="11" t="inlineStr">
        <is>
          <t>L1</t>
        </is>
      </c>
      <c r="F3" s="11" t="inlineStr">
        <is>
          <t>CLP 2,500,000</t>
        </is>
      </c>
      <c r="G3" s="11" t="n">
        <v>61</v>
      </c>
      <c r="H3" s="11" t="inlineStr">
        <is>
          <t>&lt; 100 UTM (~&lt; UF 170)</t>
        </is>
      </c>
      <c r="I3" s="11" t="inlineStr">
        <is>
          <t>2026-10-28 16:00</t>
        </is>
      </c>
      <c r="J3" s="13" t="inlineStr">
        <is>
          <t>bajo umbral de monto (Nacional, UF 61 (umbral UF 2.000))</t>
        </is>
      </c>
      <c r="K3" s="11" t="inlineStr">
        <is>
          <t>3241-21-L126</t>
        </is>
      </c>
      <c r="L3" s="14" t="inlineStr">
        <is>
          <t>Ver ficha</t>
        </is>
      </c>
    </row>
    <row r="5">
      <c r="A5" s="16" t="inlineStr">
        <is>
          <t>Estas licitaciones SI calzan con el servicio, pero quedan fuera por monto o plazo. Ojo: Mercado Publico publica el valor del CONTRATO (honorario), no el valor del activo — una tasacion de un edificio grande puede aparecer como UF 73. Revisar antes de descartar.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L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8" customWidth="1" min="3" max="3"/>
    <col width="46" customWidth="1" min="4" max="4"/>
  </cols>
  <sheetData>
    <row r="1" ht="30" customHeight="1">
      <c r="A1" s="9" t="inlineStr">
        <is>
          <t>Codigo</t>
        </is>
      </c>
      <c r="B1" s="9" t="inlineStr">
        <is>
          <t>Nombre</t>
        </is>
      </c>
      <c r="C1" s="9" t="inlineStr">
        <is>
          <t>Score</t>
        </is>
      </c>
      <c r="D1" s="9" t="inlineStr">
        <is>
          <t>Motivo del descarte</t>
        </is>
      </c>
    </row>
    <row r="2">
      <c r="A2" s="11" t="inlineStr">
        <is>
          <t>1005498-27-LE26</t>
        </is>
      </c>
      <c r="B2" s="13" t="inlineStr">
        <is>
          <t>SERVICIO DE ARRIENDO DE BODEGAS</t>
        </is>
      </c>
      <c r="C2" s="11" t="n">
        <v>19</v>
      </c>
      <c r="D2" s="13" t="inlineStr">
        <is>
          <t>score 19 &lt; 30</t>
        </is>
      </c>
    </row>
    <row r="3">
      <c r="A3" s="11" t="inlineStr">
        <is>
          <t>1011183-8-L126</t>
        </is>
      </c>
      <c r="B3" s="13" t="inlineStr">
        <is>
          <t>17301 ANÁLISIS DE ROSA DE BENGALA, OFICINA SAG CHILLAN, ÑUBLE</t>
        </is>
      </c>
      <c r="C3" s="11" t="n">
        <v>10</v>
      </c>
      <c r="D3" s="13" t="inlineStr">
        <is>
          <t>solo mencion de inmueble, sin servicio inmobiliario</t>
        </is>
      </c>
    </row>
    <row r="4">
      <c r="A4" s="11" t="inlineStr">
        <is>
          <t>1026727-14-LE26</t>
        </is>
      </c>
      <c r="B4" s="13" t="inlineStr">
        <is>
          <t>Arriendo de equipamiento prototipado CFT</t>
        </is>
      </c>
      <c r="C4" s="11" t="n">
        <v>0</v>
      </c>
      <c r="D4" s="13" t="inlineStr">
        <is>
          <t>score 0 &lt; 30</t>
        </is>
      </c>
    </row>
    <row r="5">
      <c r="A5" s="11" t="inlineStr">
        <is>
          <t>1031859-2-LP26</t>
        </is>
      </c>
      <c r="B5" s="13" t="inlineStr">
        <is>
          <t>Arriendo de relojes control de asistencia</t>
        </is>
      </c>
      <c r="C5" s="11" t="n">
        <v>0</v>
      </c>
      <c r="D5" s="13" t="inlineStr">
        <is>
          <t>score 0 &lt; 30</t>
        </is>
      </c>
    </row>
    <row r="6">
      <c r="A6" s="11" t="inlineStr">
        <is>
          <t>1035-25-L126</t>
        </is>
      </c>
      <c r="B6" s="13" t="inlineStr">
        <is>
          <t>Servicio de cambio de sistema eléctrico dependencias  oficina Paredones Conaf Pichilemu Región de O’Higgins.</t>
        </is>
      </c>
      <c r="C6" s="11" t="n">
        <v>10</v>
      </c>
      <c r="D6" s="13" t="inlineStr">
        <is>
          <t>solo mencion de inmueble, sin servicio inmobiliario</t>
        </is>
      </c>
    </row>
    <row r="7">
      <c r="A7" s="11" t="inlineStr">
        <is>
          <t>1035-26-LE26</t>
        </is>
      </c>
      <c r="B7" s="13" t="inlineStr">
        <is>
          <t>SERV. ARRIENDO MOTONIVELADORA CON OPERADOR</t>
        </is>
      </c>
      <c r="C7" s="11" t="n">
        <v>0</v>
      </c>
      <c r="D7" s="13" t="inlineStr">
        <is>
          <t>score 0 &lt; 30</t>
        </is>
      </c>
    </row>
    <row r="8">
      <c r="A8" s="11" t="inlineStr">
        <is>
          <t>1057049-377-LR26</t>
        </is>
      </c>
      <c r="B8" s="13" t="inlineStr">
        <is>
          <t>JCD ADQ BAJADAS PARENTALES CON COMODATO DE EQUIPO</t>
        </is>
      </c>
      <c r="C8" s="11" t="n">
        <v>0</v>
      </c>
      <c r="D8" s="13" t="inlineStr">
        <is>
          <t>score 0 &lt; 30</t>
        </is>
      </c>
    </row>
    <row r="9">
      <c r="A9" s="11" t="inlineStr">
        <is>
          <t>1057049-383-LE26</t>
        </is>
      </c>
      <c r="B9" s="13" t="inlineStr">
        <is>
          <t>BMC ADQ AGUJAS BIOPSIA MAMARIA DE 14 FR COMODATO</t>
        </is>
      </c>
      <c r="C9" s="11" t="n">
        <v>0</v>
      </c>
      <c r="D9" s="13" t="inlineStr">
        <is>
          <t>score 0 &lt; 30</t>
        </is>
      </c>
    </row>
    <row r="10">
      <c r="A10" s="11" t="inlineStr">
        <is>
          <t>1057370-28-L126</t>
        </is>
      </c>
      <c r="B10" s="13" t="inlineStr">
        <is>
          <t>SERVICIO DE HABILITACIÓN DE AREAS LIMPIA Y SUCIA PARA IMPLEMENTACIÓN DEL SISTEMA DE DOSIS UNITARIA</t>
        </is>
      </c>
      <c r="C10" s="11" t="n">
        <v>10</v>
      </c>
      <c r="D10" s="13" t="inlineStr">
        <is>
          <t>score 10 &lt; 30</t>
        </is>
      </c>
    </row>
    <row r="11">
      <c r="A11" s="11" t="inlineStr">
        <is>
          <t>1057384-154-LP26</t>
        </is>
      </c>
      <c r="B11" s="13" t="inlineStr">
        <is>
          <t>SUMINISTRO DE REACTIVOS Y EQUIPO EN COMODATO</t>
        </is>
      </c>
      <c r="C11" s="11" t="n">
        <v>0</v>
      </c>
      <c r="D11" s="13" t="inlineStr">
        <is>
          <t>score 0 &lt; 30</t>
        </is>
      </c>
    </row>
    <row r="12">
      <c r="A12" s="11" t="inlineStr">
        <is>
          <t>1057384-156-CO26</t>
        </is>
      </c>
      <c r="B12" s="13" t="inlineStr">
        <is>
          <t>EQUIPO EN COMODATO CONVENIO DE SUMINISTRO REACTIVO</t>
        </is>
      </c>
      <c r="C12" s="11" t="n">
        <v>0</v>
      </c>
      <c r="D12" s="13" t="inlineStr">
        <is>
          <t>score 0 &lt; 30</t>
        </is>
      </c>
    </row>
    <row r="13">
      <c r="A13" s="11" t="inlineStr">
        <is>
          <t>1057402-174-LP26</t>
        </is>
      </c>
      <c r="B13" s="13" t="inlineStr">
        <is>
          <t>REHABILITACIÓN INTEGRAL PACIENTES DEL HCM</t>
        </is>
      </c>
      <c r="C13" s="11" t="n">
        <v>6</v>
      </c>
      <c r="D13" s="13" t="inlineStr">
        <is>
          <t>score 6 &lt; 30</t>
        </is>
      </c>
    </row>
    <row r="14">
      <c r="A14" s="11" t="inlineStr">
        <is>
          <t>1057402-176-LP26</t>
        </is>
      </c>
      <c r="B14" s="13" t="inlineStr">
        <is>
          <t>Contratación de Servicio de Traslado de Pacientes con Movilidad Reducida del Hospital Clínico de Magallanes</t>
        </is>
      </c>
      <c r="C14" s="11" t="n">
        <v>0</v>
      </c>
      <c r="D14" s="13" t="inlineStr">
        <is>
          <t>score 0 &lt; 30</t>
        </is>
      </c>
    </row>
    <row r="15">
      <c r="A15" s="11" t="inlineStr">
        <is>
          <t>1057402-178-LP26</t>
        </is>
      </c>
      <c r="B15" s="13" t="inlineStr">
        <is>
          <t>Contratación de Servicio de Traslado de Funcionarios del Hospital Clínico de Magallanes</t>
        </is>
      </c>
      <c r="C15" s="11" t="n">
        <v>0</v>
      </c>
      <c r="D15" s="13" t="inlineStr">
        <is>
          <t>score 0 &lt; 30</t>
        </is>
      </c>
    </row>
    <row r="16">
      <c r="A16" s="11" t="inlineStr">
        <is>
          <t>1057402-186-LP26</t>
        </is>
      </c>
      <c r="B16" s="13" t="inlineStr">
        <is>
          <t>Arriendo Equipos de Laparoscopia para el Hospital Clínico de Magallanes</t>
        </is>
      </c>
      <c r="C16" s="11" t="n">
        <v>6</v>
      </c>
      <c r="D16" s="13" t="inlineStr">
        <is>
          <t>score 6 &lt; 30</t>
        </is>
      </c>
    </row>
    <row r="17">
      <c r="A17" s="11" t="inlineStr">
        <is>
          <t>1057402-190-LE26</t>
        </is>
      </c>
      <c r="B17" s="13" t="inlineStr">
        <is>
          <t>BRONCOSCOPIOS FLEXIBLES DESECHABLES CON COMODATO</t>
        </is>
      </c>
      <c r="C17" s="11" t="n">
        <v>0</v>
      </c>
      <c r="D17" s="13" t="inlineStr">
        <is>
          <t>score 0 &lt; 30</t>
        </is>
      </c>
    </row>
    <row r="18">
      <c r="A18" s="11" t="inlineStr">
        <is>
          <t>1057415-57-LE26</t>
        </is>
      </c>
      <c r="B18" s="13" t="inlineStr">
        <is>
          <t>ARRIENDO DE INSTALACIONES MODULARES</t>
        </is>
      </c>
      <c r="C18" s="11" t="n">
        <v>0</v>
      </c>
      <c r="D18" s="13" t="inlineStr">
        <is>
          <t>score 0 &lt; 30</t>
        </is>
      </c>
    </row>
    <row r="19">
      <c r="A19" s="11" t="inlineStr">
        <is>
          <t>1057417-238-LE26</t>
        </is>
      </c>
      <c r="B19" s="13" t="inlineStr">
        <is>
          <t>HABILITACIÓN BAÑO PARA PACIENTES OSTOMIZADOS</t>
        </is>
      </c>
      <c r="C19" s="11" t="n">
        <v>0</v>
      </c>
      <c r="D19" s="13" t="inlineStr">
        <is>
          <t>score 0 &lt; 30</t>
        </is>
      </c>
    </row>
    <row r="20">
      <c r="A20" s="11" t="inlineStr">
        <is>
          <t>1057417-34-LR26</t>
        </is>
      </c>
      <c r="B20" s="13" t="inlineStr">
        <is>
          <t>Convenio Suministro Reactivos para Examenes Hemoglobina Glicada con equipo en comodato</t>
        </is>
      </c>
      <c r="C20" s="11" t="n">
        <v>0</v>
      </c>
      <c r="D20" s="13" t="inlineStr">
        <is>
          <t>score 0 &lt; 30</t>
        </is>
      </c>
    </row>
    <row r="21">
      <c r="A21" s="11" t="inlineStr">
        <is>
          <t>1057439-116-LR26</t>
        </is>
      </c>
      <c r="B21" s="13" t="inlineStr">
        <is>
          <t>Kit Estudio de VPH Automatico con Equipo Comodato</t>
        </is>
      </c>
      <c r="C21" s="11" t="n">
        <v>0</v>
      </c>
      <c r="D21" s="13" t="inlineStr">
        <is>
          <t>score 0 &lt; 30</t>
        </is>
      </c>
    </row>
    <row r="22">
      <c r="A22" s="11" t="inlineStr">
        <is>
          <t>1057439-122-LE26</t>
        </is>
      </c>
      <c r="B22" s="13" t="inlineStr">
        <is>
          <t>ARRIENDO DE ESPACIOS PARA MAQUINAS DISPENSADORAS</t>
        </is>
      </c>
      <c r="C22" s="11" t="n">
        <v>16</v>
      </c>
      <c r="D22" s="13" t="inlineStr">
        <is>
          <t>score 16 &lt; 30</t>
        </is>
      </c>
    </row>
    <row r="23">
      <c r="A23" s="11" t="inlineStr">
        <is>
          <t>1057439-127-LE26</t>
        </is>
      </c>
      <c r="B23" s="13" t="inlineStr">
        <is>
          <t>Habilitación de Infraestructura Proyecto MEL Terraza Sur</t>
        </is>
      </c>
      <c r="C23" s="11" t="n">
        <v>0</v>
      </c>
      <c r="D23" s="13" t="inlineStr">
        <is>
          <t>score 0 &lt; 30</t>
        </is>
      </c>
    </row>
    <row r="24">
      <c r="A24" s="11" t="inlineStr">
        <is>
          <t>1057439-131-LE26</t>
        </is>
      </c>
      <c r="B24" s="13" t="inlineStr">
        <is>
          <t xml:space="preserve">Habilitación Dependencias Hospital de Dia Infanto Juvenil </t>
        </is>
      </c>
      <c r="C24" s="11" t="n">
        <v>14</v>
      </c>
      <c r="D24" s="13" t="inlineStr">
        <is>
          <t>score 14 &lt; 30</t>
        </is>
      </c>
    </row>
    <row r="25">
      <c r="A25" s="11" t="inlineStr">
        <is>
          <t>1057439-89-LR26</t>
        </is>
      </c>
      <c r="B25" s="13" t="inlineStr">
        <is>
          <t>Kits de Descartables y Equipo de Circulación Extracorporea Comodato</t>
        </is>
      </c>
      <c r="C25" s="11" t="n">
        <v>0</v>
      </c>
      <c r="D25" s="13" t="inlineStr">
        <is>
          <t>score 0 &lt; 30</t>
        </is>
      </c>
    </row>
    <row r="26">
      <c r="A26" s="11" t="inlineStr">
        <is>
          <t>1057472-111-LP26</t>
        </is>
      </c>
      <c r="B26" s="13" t="inlineStr">
        <is>
          <t>ARRIENDO DE EQUIPOS DE OSMOSIS PORTATIL</t>
        </is>
      </c>
      <c r="C26" s="11" t="n">
        <v>0</v>
      </c>
      <c r="D26" s="13" t="inlineStr">
        <is>
          <t>score 0 &lt; 30</t>
        </is>
      </c>
    </row>
    <row r="27">
      <c r="A27" s="11" t="inlineStr">
        <is>
          <t>1057472-121-LR26</t>
        </is>
      </c>
      <c r="B27" s="13" t="inlineStr">
        <is>
          <t>ARRIENDO EQUIPAMIENTO DE UNIDAD DE PACIENTE</t>
        </is>
      </c>
      <c r="C27" s="11" t="n">
        <v>0</v>
      </c>
      <c r="D27" s="13" t="inlineStr">
        <is>
          <t>score 0 &lt; 30</t>
        </is>
      </c>
    </row>
    <row r="28">
      <c r="A28" s="11" t="inlineStr">
        <is>
          <t>1057480-66-LP26</t>
        </is>
      </c>
      <c r="B28" s="13" t="inlineStr">
        <is>
          <t>Adquisición de suministros de laboratorio y centrifuga de rutina programable en comodato para el Hospital San José de Melipilla</t>
        </is>
      </c>
      <c r="C28" s="11" t="n">
        <v>0</v>
      </c>
      <c r="D28" s="13" t="inlineStr">
        <is>
          <t>score 0 &lt; 30</t>
        </is>
      </c>
    </row>
    <row r="29">
      <c r="A29" s="11" t="inlineStr">
        <is>
          <t>1057489-305-LR26</t>
        </is>
      </c>
      <c r="B29" s="13" t="inlineStr">
        <is>
          <t>SERVICIO DE TRASLADO PACIENTES FONASA DEL HDS</t>
        </is>
      </c>
      <c r="C29" s="11" t="n">
        <v>10</v>
      </c>
      <c r="D29" s="13" t="inlineStr">
        <is>
          <t>score 10 &lt; 30</t>
        </is>
      </c>
    </row>
    <row r="30">
      <c r="A30" s="11" t="inlineStr">
        <is>
          <t>1057489-314-LE26</t>
        </is>
      </c>
      <c r="B30" s="13" t="inlineStr">
        <is>
          <t>Funcionamiento y Habilitación de nueva Bodega HDS</t>
        </is>
      </c>
      <c r="C30" s="11" t="n">
        <v>13</v>
      </c>
      <c r="D30" s="13" t="inlineStr">
        <is>
          <t>score 13 &lt; 30</t>
        </is>
      </c>
    </row>
    <row r="31">
      <c r="A31" s="11" t="inlineStr">
        <is>
          <t>1057492-136-LE26</t>
        </is>
      </c>
      <c r="B31" s="13" t="inlineStr">
        <is>
          <t>SERVICIO DE ARRIENDO DE CISTOSCOPIOS</t>
        </is>
      </c>
      <c r="C31" s="11" t="n">
        <v>0</v>
      </c>
      <c r="D31" s="13" t="inlineStr">
        <is>
          <t>score 0 &lt; 30</t>
        </is>
      </c>
    </row>
    <row r="32">
      <c r="A32" s="11" t="inlineStr">
        <is>
          <t>1057492-137-LE26</t>
        </is>
      </c>
      <c r="B32" s="13" t="inlineStr">
        <is>
          <t xml:space="preserve">SERVICIO DE ARRIENDO DE ENFRIADORES DE AIRE POR PERIODO ESTIVAL </t>
        </is>
      </c>
      <c r="C32" s="11" t="n">
        <v>0</v>
      </c>
      <c r="D32" s="13" t="inlineStr">
        <is>
          <t>score 0 &lt; 30</t>
        </is>
      </c>
    </row>
    <row r="33">
      <c r="A33" s="11" t="inlineStr">
        <is>
          <t>1057499-57-LP26</t>
        </is>
      </c>
      <c r="B33" s="13" t="inlineStr">
        <is>
          <t>ARRIENDO DE WORKSTATION PARA DEPTO IIOO Y DGI SSMS</t>
        </is>
      </c>
      <c r="C33" s="11" t="n">
        <v>0</v>
      </c>
      <c r="D33" s="13" t="inlineStr">
        <is>
          <t>score 0 &lt; 30</t>
        </is>
      </c>
    </row>
    <row r="34">
      <c r="A34" s="11" t="inlineStr">
        <is>
          <t>1057501-606-LR26</t>
        </is>
      </c>
      <c r="B34" s="13" t="inlineStr">
        <is>
          <t>CONVENIO BAJADAS BOMBA DE INFUSION CON COMODATO</t>
        </is>
      </c>
      <c r="C34" s="11" t="n">
        <v>0</v>
      </c>
      <c r="D34" s="13" t="inlineStr">
        <is>
          <t>score 0 &lt; 30</t>
        </is>
      </c>
    </row>
    <row r="35">
      <c r="A35" s="11" t="inlineStr">
        <is>
          <t>1057503-137-LR26</t>
        </is>
      </c>
      <c r="B35" s="13" t="inlineStr">
        <is>
          <t>Adquisición de Test Reportado de Orina Completa y Sedimentos Urinarios Automatizados con Equipamiento en Comodato para el Hospital Padre Alberto Hurtado</t>
        </is>
      </c>
      <c r="C35" s="11" t="n">
        <v>0</v>
      </c>
      <c r="D35" s="13" t="inlineStr">
        <is>
          <t>score 0 &lt; 30</t>
        </is>
      </c>
    </row>
    <row r="36">
      <c r="A36" s="11" t="inlineStr">
        <is>
          <t>1057509-268-LE26</t>
        </is>
      </c>
      <c r="B36" s="13" t="inlineStr">
        <is>
          <t>COMPRA DE SERVICIO DE ADMINISTRATIVO Y AUXILIAR DE BODEGA PARA APOYO EN ABASTECIMIENTO</t>
        </is>
      </c>
      <c r="C36" s="11" t="n">
        <v>13</v>
      </c>
      <c r="D36" s="13" t="inlineStr">
        <is>
          <t>score 13 &lt; 30</t>
        </is>
      </c>
    </row>
    <row r="37">
      <c r="A37" s="11" t="inlineStr">
        <is>
          <t>1057509-303-LR26</t>
        </is>
      </c>
      <c r="B37" s="13" t="inlineStr">
        <is>
          <t>CONVENIO PROVEEDURÍA DE AUDÍFONOS Y EQUIPAMIENTO ASOCIADO EN COMODATO fgh</t>
        </is>
      </c>
      <c r="C37" s="11" t="n">
        <v>0</v>
      </c>
      <c r="D37" s="13" t="inlineStr">
        <is>
          <t>score 0 &lt; 30</t>
        </is>
      </c>
    </row>
    <row r="38">
      <c r="A38" s="11" t="inlineStr">
        <is>
          <t>1057509-304-LP26</t>
        </is>
      </c>
      <c r="B38" s="13" t="inlineStr">
        <is>
          <t>CONVENIO DE JERINGAS VACIAS CONECTORES DE BAJA PRESION Y SPIKE PARA ADMINISTRACION DE MEDIO DE CONTRASTE CON EQUIPO EN COMODATO vps</t>
        </is>
      </c>
      <c r="C38" s="11" t="n">
        <v>0</v>
      </c>
      <c r="D38" s="13" t="inlineStr">
        <is>
          <t>score 0 &lt; 30</t>
        </is>
      </c>
    </row>
    <row r="39">
      <c r="A39" s="11" t="inlineStr">
        <is>
          <t>1057509-331-LE26</t>
        </is>
      </c>
      <c r="B39" s="13" t="inlineStr">
        <is>
          <t>CONVENIO SERVICIO DE TRASLADOS PARA PACIENTES DE LA UNIDAD DE ONCOLOGÍA fpa</t>
        </is>
      </c>
      <c r="C39" s="11" t="n">
        <v>0</v>
      </c>
      <c r="D39" s="13" t="inlineStr">
        <is>
          <t>score 0 &lt; 30</t>
        </is>
      </c>
    </row>
    <row r="40">
      <c r="A40" s="11" t="inlineStr">
        <is>
          <t>1057509-334-LP26</t>
        </is>
      </c>
      <c r="B40" s="13" t="inlineStr">
        <is>
          <t>CONVENIO ADQUISICIÓN DE SENSORES PARA MEDICIÓN CONTINUA DE GLUCOSA Y CINTAS DE CETONAS CON EQUIPO EN COMODATO crp</t>
        </is>
      </c>
      <c r="C40" s="11" t="n">
        <v>0</v>
      </c>
      <c r="D40" s="13" t="inlineStr">
        <is>
          <t>score 0 &lt; 30</t>
        </is>
      </c>
    </row>
    <row r="41">
      <c r="A41" s="11" t="inlineStr">
        <is>
          <t>1057509-347-LE26</t>
        </is>
      </c>
      <c r="B41" s="13" t="inlineStr">
        <is>
          <t>CONVENIO PROVEEDURÍA DE SENSORES DE MONITORIZACIÓN DEL INDICE BIESPECTRAL CON MONITORES EN COMODATO nat</t>
        </is>
      </c>
      <c r="C41" s="11" t="n">
        <v>0</v>
      </c>
      <c r="D41" s="13" t="inlineStr">
        <is>
          <t>score 0 &lt; 30</t>
        </is>
      </c>
    </row>
    <row r="42">
      <c r="A42" s="11" t="inlineStr">
        <is>
          <t>1057532-92-LE26</t>
        </is>
      </c>
      <c r="B42" s="13" t="inlineStr">
        <is>
          <t>Traslado y Habilitación Módulos Ex COSAM Rahue</t>
        </is>
      </c>
      <c r="C42" s="11" t="n">
        <v>16</v>
      </c>
      <c r="D42" s="13" t="inlineStr">
        <is>
          <t>score 16 &lt; 30</t>
        </is>
      </c>
    </row>
    <row r="43">
      <c r="A43" s="11" t="inlineStr">
        <is>
          <t>1057543-65-LP26</t>
        </is>
      </c>
      <c r="B43" s="13" t="inlineStr">
        <is>
          <t>Arriendo de torre de laparoscopía</t>
        </is>
      </c>
      <c r="C43" s="11" t="n">
        <v>0</v>
      </c>
      <c r="D43" s="13" t="inlineStr">
        <is>
          <t>score 0 &lt; 30</t>
        </is>
      </c>
    </row>
    <row r="44">
      <c r="A44" s="11" t="inlineStr">
        <is>
          <t>1057545-109-LP26</t>
        </is>
      </c>
      <c r="B44" s="13" t="inlineStr">
        <is>
          <t>SUMINISTRO SERVICIOS DE TRASLADO Y MUDANZA DSSLR</t>
        </is>
      </c>
      <c r="C44" s="11" t="n">
        <v>0</v>
      </c>
      <c r="D44" s="13" t="inlineStr">
        <is>
          <t>score 0 &lt; 30</t>
        </is>
      </c>
    </row>
    <row r="45">
      <c r="A45" s="11" t="inlineStr">
        <is>
          <t>1057547-428-LE26</t>
        </is>
      </c>
      <c r="B45" s="13" t="inlineStr">
        <is>
          <t>COMPRA SERV. TRASLADO FUNCIONARIOS UNIDAD HOSPITAL</t>
        </is>
      </c>
      <c r="C45" s="11" t="n">
        <v>0</v>
      </c>
      <c r="D45" s="13" t="inlineStr">
        <is>
          <t>score 0 &lt; 30</t>
        </is>
      </c>
    </row>
    <row r="46">
      <c r="A46" s="11" t="inlineStr">
        <is>
          <t>1057975-6-LE26</t>
        </is>
      </c>
      <c r="B46" s="13" t="inlineStr">
        <is>
          <t>MÓDULOS PARA BODEGAS HOSPITAL DE COINCO</t>
        </is>
      </c>
      <c r="C46" s="11" t="n">
        <v>7</v>
      </c>
      <c r="D46" s="13" t="inlineStr">
        <is>
          <t>solo mencion de inmueble, sin servicio inmobiliario</t>
        </is>
      </c>
    </row>
    <row r="47">
      <c r="A47" s="11" t="inlineStr">
        <is>
          <t>1058141-25-LR26</t>
        </is>
      </c>
      <c r="B47" s="13" t="inlineStr">
        <is>
          <t>Contrato de Suministro de Medios de Contraste Iodados con calentador en comodato para requerimientos del Hospital Carlos Van Buren</t>
        </is>
      </c>
      <c r="C47" s="11" t="n">
        <v>0</v>
      </c>
      <c r="D47" s="13" t="inlineStr">
        <is>
          <t>score 0 &lt; 30</t>
        </is>
      </c>
    </row>
    <row r="48">
      <c r="A48" s="11" t="inlineStr">
        <is>
          <t>1063538-228-LE26</t>
        </is>
      </c>
      <c r="B48" s="13" t="inlineStr">
        <is>
          <t>HABILITACION SISTEMA MONITOREO CCTV UHCE</t>
        </is>
      </c>
      <c r="C48" s="11" t="n">
        <v>0</v>
      </c>
      <c r="D48" s="13" t="inlineStr">
        <is>
          <t>score 0 &lt; 30</t>
        </is>
      </c>
    </row>
    <row r="49">
      <c r="A49" s="11" t="inlineStr">
        <is>
          <t>1070620-110-LP26</t>
        </is>
      </c>
      <c r="B49" s="13" t="inlineStr">
        <is>
          <t>VRC- SERV. DE ARRIENDO EQUIPO NEUROMONITOREO</t>
        </is>
      </c>
      <c r="C49" s="11" t="n">
        <v>0</v>
      </c>
      <c r="D49" s="13" t="inlineStr">
        <is>
          <t>score 0 &lt; 30</t>
        </is>
      </c>
    </row>
    <row r="50">
      <c r="A50" s="11" t="inlineStr">
        <is>
          <t>1075963-351-LP26</t>
        </is>
      </c>
      <c r="B50" s="13" t="inlineStr">
        <is>
          <t>CONVENIO SUMINISTRO FÁRMACOS PROPOFOL + EQUIPO EN COMODATO DE ADMINISTRACIÓN TIVA + EQUIPO EN COMODATO DE MONITOR PROFUNDIDAD ANESTÉSICA + ELECTRODO SENSOR DE SEDACIÓN PROFUNDA DE CONTACTO NO INVASIVO</t>
        </is>
      </c>
      <c r="C50" s="11" t="n">
        <v>0</v>
      </c>
      <c r="D50" s="13" t="inlineStr">
        <is>
          <t>score 0 &lt; 30</t>
        </is>
      </c>
    </row>
    <row r="51">
      <c r="A51" s="11" t="inlineStr">
        <is>
          <t>1077241-11-LE26</t>
        </is>
      </c>
      <c r="B51" s="13" t="inlineStr">
        <is>
          <t>Materiales de oficina equipamiento salas TEA</t>
        </is>
      </c>
      <c r="C51" s="11" t="n">
        <v>13</v>
      </c>
      <c r="D51" s="13" t="inlineStr">
        <is>
          <t>score 13 &lt; 30</t>
        </is>
      </c>
    </row>
    <row r="52">
      <c r="A52" s="11" t="inlineStr">
        <is>
          <t>1077241-14-LE26</t>
        </is>
      </c>
      <c r="B52" s="13" t="inlineStr">
        <is>
          <t>HABILITACIÓN DE SALAS PARA REHABILITACIÓN DE NIÑOS</t>
        </is>
      </c>
      <c r="C52" s="11" t="n">
        <v>0</v>
      </c>
      <c r="D52" s="13" t="inlineStr">
        <is>
          <t>score 0 &lt; 30</t>
        </is>
      </c>
    </row>
    <row r="53">
      <c r="A53" s="11" t="inlineStr">
        <is>
          <t>1079445-48-LE26</t>
        </is>
      </c>
      <c r="B53" s="13" t="inlineStr">
        <is>
          <t>ADQ. PUERTAS PARA DEPENDENCIAS DE LA DEAOPERPOL</t>
        </is>
      </c>
      <c r="C53" s="11" t="n">
        <v>8</v>
      </c>
      <c r="D53" s="13" t="inlineStr">
        <is>
          <t>solo mencion de inmueble, sin servicio inmobiliario</t>
        </is>
      </c>
    </row>
    <row r="54">
      <c r="A54" s="11" t="inlineStr">
        <is>
          <t>1084148-19-L126</t>
        </is>
      </c>
      <c r="B54" s="13" t="inlineStr">
        <is>
          <t>CONTRATACIÓN DEL SERVICIO DE MONITOREO DE ALARMAS Y VIDEOVIGILANCIA (CCTV) CON VIDEOVERIFICACIÓN PARA BODEGAS DEL SERVICIO LOCAL DE EDUCACIÓN PÚBLICA CHINCHORRO</t>
        </is>
      </c>
      <c r="C54" s="11" t="n">
        <v>7</v>
      </c>
      <c r="D54" s="13" t="inlineStr">
        <is>
          <t>solo mencion de inmueble, sin servicio inmobiliario</t>
        </is>
      </c>
    </row>
    <row r="55">
      <c r="A55" s="11" t="inlineStr">
        <is>
          <t>1095-18-LE26</t>
        </is>
      </c>
      <c r="B55" s="13" t="inlineStr">
        <is>
          <t xml:space="preserve"> Arriendo cuatro excavadoras orugas CAD</t>
        </is>
      </c>
      <c r="C55" s="11" t="n">
        <v>0</v>
      </c>
      <c r="D55" s="13" t="inlineStr">
        <is>
          <t>score 0 &lt; 30</t>
        </is>
      </c>
    </row>
    <row r="56">
      <c r="A56" s="11" t="inlineStr">
        <is>
          <t>1096-24-LE26</t>
        </is>
      </c>
      <c r="B56" s="13" t="inlineStr">
        <is>
          <t xml:space="preserve">ADQUISICIÓN DE MÓDULOS TIPO BODEGA </t>
        </is>
      </c>
      <c r="C56" s="11" t="n">
        <v>7</v>
      </c>
      <c r="D56" s="13" t="inlineStr">
        <is>
          <t>solo mencion de inmueble, sin servicio inmobiliario</t>
        </is>
      </c>
    </row>
    <row r="57">
      <c r="A57" s="11" t="inlineStr">
        <is>
          <t>1099402-43-L126</t>
        </is>
      </c>
      <c r="B57" s="13" t="inlineStr">
        <is>
          <t>PROYECTO HABILITACION REAS</t>
        </is>
      </c>
      <c r="C57" s="11" t="n">
        <v>0</v>
      </c>
      <c r="D57" s="13" t="inlineStr">
        <is>
          <t>score 0 &lt; 30</t>
        </is>
      </c>
    </row>
    <row r="58">
      <c r="A58" s="11" t="inlineStr">
        <is>
          <t>1105450-3-LE26</t>
        </is>
      </c>
      <c r="B58" s="13" t="inlineStr">
        <is>
          <t>SERVICIO DE ARRIENDO MODULACIÓN- SISTEMA ELÉCTRICO</t>
        </is>
      </c>
      <c r="C58" s="11" t="n">
        <v>0</v>
      </c>
      <c r="D58" s="13" t="inlineStr">
        <is>
          <t>score 0 &lt; 30</t>
        </is>
      </c>
    </row>
    <row r="59">
      <c r="A59" s="11" t="inlineStr">
        <is>
          <t>1106-25-LP26</t>
        </is>
      </c>
      <c r="B59" s="13" t="inlineStr">
        <is>
          <t>Serv. Arriendo Equipos para Operaciones de faenas</t>
        </is>
      </c>
      <c r="C59" s="11" t="n">
        <v>0</v>
      </c>
      <c r="D59" s="13" t="inlineStr">
        <is>
          <t>score 0 &lt; 30</t>
        </is>
      </c>
    </row>
    <row r="60">
      <c r="A60" s="11" t="inlineStr">
        <is>
          <t>1110404-205-LP26</t>
        </is>
      </c>
      <c r="B60" s="13" t="inlineStr">
        <is>
          <t>MANTENCIÓN SS.HH. Y COCINAS DE CASAS DE PROFESORES Y REPOSICION DE CUBICULOS SEPARADORES EN SS.HH. DEL ESTABLECIMIENTO LICEO GRANADEROS DE PUTRE PERTENECIENTE A SLEP DE CHINCHORRO</t>
        </is>
      </c>
      <c r="C60" s="11" t="n">
        <v>5</v>
      </c>
      <c r="D60" s="13" t="inlineStr">
        <is>
          <t>solo mencion de inmueble, sin servicio inmobiliario</t>
        </is>
      </c>
    </row>
    <row r="61">
      <c r="A61" s="11" t="inlineStr">
        <is>
          <t>1110404-227-LR26</t>
        </is>
      </c>
      <c r="B61" s="13" t="inlineStr">
        <is>
          <t>ARRIENDO DE EQUIPOS DE IMPRESIÓN Y FOTOCOPIADO CON SERVICIOS ASOCIADOS PARA ESTABLECIMIENTOS EDUCACIONALES DEL SLEP CHINCHORRO SUBVENCIÓN SEP Y GENERAL</t>
        </is>
      </c>
      <c r="C61" s="11" t="n">
        <v>0</v>
      </c>
      <c r="D61" s="13" t="inlineStr">
        <is>
          <t>score 0 &lt; 30</t>
        </is>
      </c>
    </row>
    <row r="62">
      <c r="A62" s="11" t="inlineStr">
        <is>
          <t>1116006-5-LE26</t>
        </is>
      </c>
      <c r="B62" s="13" t="inlineStr">
        <is>
          <t>Corte de Árboles dependencias Aeródromo Tte. Vidal</t>
        </is>
      </c>
      <c r="C62" s="11" t="n">
        <v>8</v>
      </c>
      <c r="D62" s="13" t="inlineStr">
        <is>
          <t>solo mencion de inmueble, sin servicio inmobiliario</t>
        </is>
      </c>
    </row>
    <row r="63">
      <c r="A63" s="11" t="inlineStr">
        <is>
          <t>1116007-26-L126</t>
        </is>
      </c>
      <c r="B63" s="13" t="inlineStr">
        <is>
          <t>Servicio de reparación de baño de la oficina de la jefatura del Subdepartamento Zona Aeroportuaria Austral</t>
        </is>
      </c>
      <c r="C63" s="11" t="n">
        <v>10</v>
      </c>
      <c r="D63" s="13" t="inlineStr">
        <is>
          <t>solo mencion de inmueble, sin servicio inmobiliario</t>
        </is>
      </c>
    </row>
    <row r="64">
      <c r="A64" s="11" t="inlineStr">
        <is>
          <t>1149-19-LE26</t>
        </is>
      </c>
      <c r="B64" s="13" t="inlineStr">
        <is>
          <t>SERVICIO DE LIMPIEZA Y DESCEPE PARA REHABILITACIÓN</t>
        </is>
      </c>
      <c r="C64" s="11" t="n">
        <v>0</v>
      </c>
      <c r="D64" s="13" t="inlineStr">
        <is>
          <t>score 0 &lt; 30</t>
        </is>
      </c>
    </row>
    <row r="65">
      <c r="A65" s="11" t="inlineStr">
        <is>
          <t>1173263-4-LE26</t>
        </is>
      </c>
      <c r="B65" s="13" t="inlineStr">
        <is>
          <t>SUM. E INST. SIST. FULL SPACE BODEGA FARMACIA CVMF</t>
        </is>
      </c>
      <c r="C65" s="11" t="n">
        <v>7</v>
      </c>
      <c r="D65" s="13" t="inlineStr">
        <is>
          <t>solo mencion de inmueble, sin servicio inmobiliario</t>
        </is>
      </c>
    </row>
    <row r="66">
      <c r="A66" s="11" t="inlineStr">
        <is>
          <t>1175-95-LE26</t>
        </is>
      </c>
      <c r="B66" s="13" t="inlineStr">
        <is>
          <t>Lic. 87.26 ARRIENDO DE CENTRÍFUGAS SSAS</t>
        </is>
      </c>
      <c r="C66" s="11" t="n">
        <v>0</v>
      </c>
      <c r="D66" s="13" t="inlineStr">
        <is>
          <t>score 0 &lt; 30</t>
        </is>
      </c>
    </row>
    <row r="67">
      <c r="A67" s="11" t="inlineStr">
        <is>
          <t>1180817-2-LE26</t>
        </is>
      </c>
      <c r="B67" s="13" t="inlineStr">
        <is>
          <t>EQUIPAMIENTO HABILITACIÓN PSR PUYUHUAPI</t>
        </is>
      </c>
      <c r="C67" s="11" t="n">
        <v>0</v>
      </c>
      <c r="D67" s="13" t="inlineStr">
        <is>
          <t>score 0 &lt; 30</t>
        </is>
      </c>
    </row>
    <row r="68">
      <c r="A68" s="11" t="inlineStr">
        <is>
          <t>1180830-26-I226</t>
        </is>
      </c>
      <c r="B68" s="13" t="inlineStr">
        <is>
          <t>CONSTRUCCIÓN BODEGA FARMACIA CAN PPV 06-2026</t>
        </is>
      </c>
      <c r="C68" s="11" t="n">
        <v>7</v>
      </c>
      <c r="D68" s="13" t="inlineStr">
        <is>
          <t>solo mencion de inmueble, sin servicio inmobiliario</t>
        </is>
      </c>
    </row>
    <row r="69">
      <c r="A69" s="11" t="inlineStr">
        <is>
          <t>1186229-31-LE26</t>
        </is>
      </c>
      <c r="B69" s="13" t="inlineStr">
        <is>
          <t>SERVICIO DE HABILITACION DE ESPACIOS DE CUIDADO</t>
        </is>
      </c>
      <c r="C69" s="11" t="n">
        <v>11</v>
      </c>
      <c r="D69" s="13" t="inlineStr">
        <is>
          <t>score 11 &lt; 30</t>
        </is>
      </c>
    </row>
    <row r="70">
      <c r="A70" s="11" t="inlineStr">
        <is>
          <t>1202333-100-LE26</t>
        </is>
      </c>
      <c r="B70" s="13" t="inlineStr">
        <is>
          <t>CONSTRUCCIÓN DE RUTA ACCESIBLE CENTRO CULTURAL CASA ESTACIÓN QUINTERO</t>
        </is>
      </c>
      <c r="C70" s="11" t="n">
        <v>8</v>
      </c>
      <c r="D70" s="13" t="inlineStr">
        <is>
          <t>score 8 &lt; 30</t>
        </is>
      </c>
    </row>
    <row r="71">
      <c r="A71" s="11" t="inlineStr">
        <is>
          <t>1210-27-LE26</t>
        </is>
      </c>
      <c r="B71" s="13" t="inlineStr">
        <is>
          <t>conservación de cubiertas Edificio Secreduc</t>
        </is>
      </c>
      <c r="C71" s="11" t="n">
        <v>8</v>
      </c>
      <c r="D71" s="13" t="inlineStr">
        <is>
          <t>solo mencion de inmueble, sin servicio inmobiliario</t>
        </is>
      </c>
    </row>
    <row r="72">
      <c r="A72" s="11" t="inlineStr">
        <is>
          <t>1217466-27-LP26</t>
        </is>
      </c>
      <c r="B72" s="13" t="inlineStr">
        <is>
          <t>Retiro embalaje y traslado de la exhibición perm</t>
        </is>
      </c>
      <c r="C72" s="11" t="n">
        <v>0</v>
      </c>
      <c r="D72" s="13" t="inlineStr">
        <is>
          <t>score 0 &lt; 30</t>
        </is>
      </c>
    </row>
    <row r="73">
      <c r="A73" s="11" t="inlineStr">
        <is>
          <t>1218393-49-LE26</t>
        </is>
      </c>
      <c r="B73" s="13" t="inlineStr">
        <is>
          <t>Convenio suministro de servicios de fotocopiado impresión y digitalización con arriendo de equipos para CESFAM Externo Valdivia</t>
        </is>
      </c>
      <c r="C73" s="11" t="n">
        <v>0</v>
      </c>
      <c r="D73" s="13" t="inlineStr">
        <is>
          <t>score 0 &lt; 30</t>
        </is>
      </c>
    </row>
    <row r="74">
      <c r="A74" s="11" t="inlineStr">
        <is>
          <t>1221019-17-LE26</t>
        </is>
      </c>
      <c r="B74" s="13" t="inlineStr">
        <is>
          <t xml:space="preserve">Plataforma de Venta de Entradas para Evento. </t>
        </is>
      </c>
      <c r="C74" s="11" t="n">
        <v>0</v>
      </c>
      <c r="D74" s="13" t="inlineStr">
        <is>
          <t>score 0 &lt; 30</t>
        </is>
      </c>
    </row>
    <row r="75">
      <c r="A75" s="11" t="inlineStr">
        <is>
          <t>1224957-64-LE26</t>
        </is>
      </c>
      <c r="B75" s="13" t="inlineStr">
        <is>
          <t>Serv. de Auditoría e Inventario CMDS Ñuñoa</t>
        </is>
      </c>
      <c r="C75" s="11" t="n">
        <v>0</v>
      </c>
      <c r="D75" s="13" t="inlineStr">
        <is>
          <t>score 0 &lt; 30</t>
        </is>
      </c>
    </row>
    <row r="76">
      <c r="A76" s="11" t="inlineStr">
        <is>
          <t>1227-4-LP26</t>
        </is>
      </c>
      <c r="B76" s="13" t="inlineStr">
        <is>
          <t>SERV DE TRASLADO ESTIBA Y DESESTIBA DE MERCANCIAS</t>
        </is>
      </c>
      <c r="C76" s="11" t="n">
        <v>0</v>
      </c>
      <c r="D76" s="13" t="inlineStr">
        <is>
          <t>score 0 &lt; 30</t>
        </is>
      </c>
    </row>
    <row r="77">
      <c r="A77" s="11" t="inlineStr">
        <is>
          <t>1230848-70-L126</t>
        </is>
      </c>
      <c r="B77" s="13" t="inlineStr">
        <is>
          <t>EQ. TECNOLÓGICO SALA REHABILITACIÓN PRAPS AIDIA</t>
        </is>
      </c>
      <c r="C77" s="11" t="n">
        <v>0</v>
      </c>
      <c r="D77" s="13" t="inlineStr">
        <is>
          <t>score 0 &lt; 30</t>
        </is>
      </c>
    </row>
    <row r="78">
      <c r="A78" s="11" t="inlineStr">
        <is>
          <t>1233619-47-LP26</t>
        </is>
      </c>
      <c r="B78" s="13" t="inlineStr">
        <is>
          <t xml:space="preserve">“PROYECTO DE HABILITACIÓN EDIFICIO INSTITUCIONAL SLEP MAULE COSTA COMUNA DE CAUQUENES </t>
        </is>
      </c>
      <c r="C78" s="11" t="n">
        <v>14</v>
      </c>
      <c r="D78" s="13" t="inlineStr">
        <is>
          <t>score 14 &lt; 30</t>
        </is>
      </c>
    </row>
    <row r="79">
      <c r="A79" s="11" t="inlineStr">
        <is>
          <t>1233833-15-LE26</t>
        </is>
      </c>
      <c r="B79" s="13" t="inlineStr">
        <is>
          <t>SERVICIO DE REPARACIÓN Y DECORACIÓN DEL ÁRBOL DE NAVIDAD ARRIENDO DE PUNTOS DE FOTO ARRIENDO DE LUCES ARRIENDO DE DECORACIÓN PARA “QUILICURA SE ILUMINA 2026</t>
        </is>
      </c>
      <c r="C79" s="11" t="n">
        <v>0</v>
      </c>
      <c r="D79" s="13" t="inlineStr">
        <is>
          <t>score 0 &lt; 30</t>
        </is>
      </c>
    </row>
    <row r="80">
      <c r="A80" s="11" t="inlineStr">
        <is>
          <t>1242131-22-LP26</t>
        </is>
      </c>
      <c r="B80" s="13" t="inlineStr">
        <is>
          <t>Convenio de suministro de fibrobroncoscopios desechables con equipamiento y accesorios en comodato para el Hospital Provincial de Ovalle</t>
        </is>
      </c>
      <c r="C80" s="11" t="n">
        <v>0</v>
      </c>
      <c r="D80" s="13" t="inlineStr">
        <is>
          <t>score 0 &lt; 30</t>
        </is>
      </c>
    </row>
    <row r="81">
      <c r="A81" s="11" t="inlineStr">
        <is>
          <t>1242131-24-LP26</t>
        </is>
      </c>
      <c r="B81" s="13" t="inlineStr">
        <is>
          <t>Convenio de Suministro de tiras reactivas para determinación de glucosa con lancetas y glucómetros en comodato para el Hospital Provincial de Ovalle</t>
        </is>
      </c>
      <c r="C81" s="11" t="n">
        <v>0</v>
      </c>
      <c r="D81" s="13" t="inlineStr">
        <is>
          <t>score 0 &lt; 30</t>
        </is>
      </c>
    </row>
    <row r="82">
      <c r="A82" s="11" t="inlineStr">
        <is>
          <t>1247197-69-LE26</t>
        </is>
      </c>
      <c r="B82" s="13" t="inlineStr">
        <is>
          <t>HABILITACIÓN BOXES CECOSF ALBERTO BACHELET</t>
        </is>
      </c>
      <c r="C82" s="11" t="n">
        <v>8</v>
      </c>
      <c r="D82" s="13" t="inlineStr">
        <is>
          <t>score 8 &lt; 30</t>
        </is>
      </c>
    </row>
    <row r="83">
      <c r="A83" s="11" t="inlineStr">
        <is>
          <t>1292-37-LE26</t>
        </is>
      </c>
      <c r="B83" s="13" t="inlineStr">
        <is>
          <t>Servicio arriendo equipo Snowcat Paso Pehuenche</t>
        </is>
      </c>
      <c r="C83" s="11" t="n">
        <v>14</v>
      </c>
      <c r="D83" s="13" t="inlineStr">
        <is>
          <t>score 14 &lt; 30</t>
        </is>
      </c>
    </row>
    <row r="84">
      <c r="A84" s="11" t="inlineStr">
        <is>
          <t>1298355-23-LE26</t>
        </is>
      </c>
      <c r="B84" s="13" t="inlineStr">
        <is>
          <t>MEJORAMIENTO DE OFICINA Y OTRAS OBRAS EXTERIORES</t>
        </is>
      </c>
      <c r="C84" s="11" t="n">
        <v>10</v>
      </c>
      <c r="D84" s="13" t="inlineStr">
        <is>
          <t>solo mencion de inmueble, sin servicio inmobiliario</t>
        </is>
      </c>
    </row>
    <row r="85">
      <c r="A85" s="11" t="inlineStr">
        <is>
          <t>1305552-7-LE26</t>
        </is>
      </c>
      <c r="B85" s="13" t="inlineStr">
        <is>
          <t>OBRAS DE MEJORAMIENTO EN DEPENDENCIAS SLEP TAMARUG</t>
        </is>
      </c>
      <c r="C85" s="11" t="n">
        <v>8</v>
      </c>
      <c r="D85" s="13" t="inlineStr">
        <is>
          <t>solo mencion de inmueble, sin servicio inmobiliario</t>
        </is>
      </c>
    </row>
    <row r="86">
      <c r="A86" s="11" t="inlineStr">
        <is>
          <t>1306-2-LP26</t>
        </is>
      </c>
      <c r="B86" s="13" t="inlineStr">
        <is>
          <t>Servicio de obras menores para inmuebles ubicados en la Región de La Araucanía.</t>
        </is>
      </c>
      <c r="C86" s="11" t="n">
        <v>14</v>
      </c>
      <c r="D86" s="13" t="inlineStr">
        <is>
          <t>solo mencion de inmueble, sin servicio inmobiliario</t>
        </is>
      </c>
    </row>
    <row r="87">
      <c r="A87" s="11" t="inlineStr">
        <is>
          <t>1320138-4-L126</t>
        </is>
      </c>
      <c r="B87" s="13" t="inlineStr">
        <is>
          <t>“ASESORIA ELECTRICA LA INSPECCION FISCAL DE LA OBRA DE HABILITACIÓN BODEGA EDIFICIO EX MOLINERA REGIÓN DE ANTOFAGASTA, CODIGO BIP 40073549”</t>
        </is>
      </c>
      <c r="C87" s="11" t="n">
        <v>14</v>
      </c>
      <c r="D87" s="13" t="inlineStr">
        <is>
          <t>score 14 &lt; 30</t>
        </is>
      </c>
    </row>
    <row r="88">
      <c r="A88" s="11" t="inlineStr">
        <is>
          <t>1374899-50-LP26</t>
        </is>
      </c>
      <c r="B88" s="13" t="inlineStr">
        <is>
          <t>IMPLEMENTACIÓN DE UN SISTEMA DE GESTIÓN DE TURNOS CONTROL HORARIO Y CÁLCULO DE COMPENSACIONES CON ARRIENDO DE RELOJES CONTROL SOPORTE Y MANTENCIÓN</t>
        </is>
      </c>
      <c r="C88" s="11" t="n">
        <v>0</v>
      </c>
      <c r="D88" s="13" t="inlineStr">
        <is>
          <t>score 0 &lt; 30</t>
        </is>
      </c>
    </row>
    <row r="89">
      <c r="A89" s="11" t="inlineStr">
        <is>
          <t>1375760-11-CO26</t>
        </is>
      </c>
      <c r="B89" s="13" t="inlineStr">
        <is>
          <t>SERVICIO DE HABILITACIÓN DE INSTALACIONES SLEPVC</t>
        </is>
      </c>
      <c r="C89" s="11" t="n">
        <v>10</v>
      </c>
      <c r="D89" s="13" t="inlineStr">
        <is>
          <t>score 10 &lt; 30</t>
        </is>
      </c>
    </row>
    <row r="90">
      <c r="A90" s="11" t="inlineStr">
        <is>
          <t>1377068-24-L126</t>
        </is>
      </c>
      <c r="B90" s="13" t="inlineStr">
        <is>
          <t>CONTRATACIÓN DE SUMINISTRO DE AGUA PURIFICADA Y ARRIENDO Y ADQUISICIÓN DE MÁQUINAS DISPENSADORAS PARA LO BARNECHEA SERVICIOS</t>
        </is>
      </c>
      <c r="C90" s="11" t="n">
        <v>0</v>
      </c>
      <c r="D90" s="13" t="inlineStr">
        <is>
          <t>score 0 &lt; 30</t>
        </is>
      </c>
    </row>
    <row r="91">
      <c r="A91" s="11" t="inlineStr">
        <is>
          <t>1377-1-LE26</t>
        </is>
      </c>
      <c r="B91" s="13" t="inlineStr">
        <is>
          <t>SERVICIO DE OOMM PARA OFICINAS DEL CDPR BIOBIO</t>
        </is>
      </c>
      <c r="C91" s="11" t="n">
        <v>10</v>
      </c>
      <c r="D91" s="13" t="inlineStr">
        <is>
          <t>solo mencion de inmueble, sin servicio inmobiliario</t>
        </is>
      </c>
    </row>
    <row r="92">
      <c r="A92" s="11" t="inlineStr">
        <is>
          <t>1417913-128-LR26</t>
        </is>
      </c>
      <c r="B92" s="13" t="inlineStr">
        <is>
          <t>SERVICIO DE TRASLADO DE FUNCIONARIOS DE CORMUDESI POR 24 MESES</t>
        </is>
      </c>
      <c r="C92" s="11" t="n">
        <v>8</v>
      </c>
      <c r="D92" s="13" t="inlineStr">
        <is>
          <t>score 8 &lt; 30</t>
        </is>
      </c>
    </row>
    <row r="93">
      <c r="A93" s="11" t="inlineStr">
        <is>
          <t>1417913-138-LE26</t>
        </is>
      </c>
      <c r="B93" s="13" t="inlineStr">
        <is>
          <t>Servicios sanitarios de apoyo operativo fosas sépticas estanques de agua y servicios afines para dependencias de Cormudesi por 24 meses</t>
        </is>
      </c>
      <c r="C93" s="11" t="n">
        <v>8</v>
      </c>
      <c r="D93" s="13" t="inlineStr">
        <is>
          <t>solo mencion de inmueble, sin servicio inmobiliario</t>
        </is>
      </c>
    </row>
    <row r="94">
      <c r="A94" s="11" t="inlineStr">
        <is>
          <t>1422825-32-LE26</t>
        </is>
      </c>
      <c r="B94" s="13" t="inlineStr">
        <is>
          <t>CONTRATO DE SERVICIO DE ARRENDAMIENTO E INSTALACIÓN DE SISTEMAS DE RESPALDO ENERGÉTICO UPS CON TRANSFERENCIA DE PROPIEDAD PARA EL HOSPITAL CARLOS VAN BUREN</t>
        </is>
      </c>
      <c r="C94" s="11" t="n">
        <v>0</v>
      </c>
      <c r="D94" s="13" t="inlineStr">
        <is>
          <t>score 0 &lt; 30</t>
        </is>
      </c>
    </row>
    <row r="95">
      <c r="A95" s="11" t="inlineStr">
        <is>
          <t>1426098-17-LE26</t>
        </is>
      </c>
      <c r="B95" s="13" t="inlineStr">
        <is>
          <t>Habilitación recinto sala CCTV IP IRC Coronel.</t>
        </is>
      </c>
      <c r="C95" s="11" t="n">
        <v>11</v>
      </c>
      <c r="D95" s="13" t="inlineStr">
        <is>
          <t>score 11 &lt; 30</t>
        </is>
      </c>
    </row>
    <row r="96">
      <c r="A96" s="11" t="inlineStr">
        <is>
          <t>1430396-6-LE26</t>
        </is>
      </c>
      <c r="B96" s="13" t="inlineStr">
        <is>
          <t>Instalación de Ventanas Termopanel</t>
        </is>
      </c>
      <c r="C96" s="11" t="n">
        <v>10</v>
      </c>
      <c r="D96" s="13" t="inlineStr">
        <is>
          <t>score 10 &lt; 30</t>
        </is>
      </c>
    </row>
    <row r="97">
      <c r="A97" s="11" t="inlineStr">
        <is>
          <t>1434-30-LE26</t>
        </is>
      </c>
      <c r="B97" s="13" t="inlineStr">
        <is>
          <t>HABILITACIÓN DE PISCINA CCRR LOS AROMOS TALCAHUANO</t>
        </is>
      </c>
      <c r="C97" s="11" t="n">
        <v>8</v>
      </c>
      <c r="D97" s="13" t="inlineStr">
        <is>
          <t>score 8 &lt; 30</t>
        </is>
      </c>
    </row>
    <row r="98">
      <c r="A98" s="11" t="inlineStr">
        <is>
          <t>1437-19-LE26</t>
        </is>
      </c>
      <c r="B98" s="13" t="inlineStr">
        <is>
          <t>HABILITACIÓN INDIVIDUAL AGUA POTABLE SECTOR RURAL</t>
        </is>
      </c>
      <c r="C98" s="11" t="n">
        <v>0</v>
      </c>
      <c r="D98" s="13" t="inlineStr">
        <is>
          <t>score 0 &lt; 30</t>
        </is>
      </c>
    </row>
    <row r="99">
      <c r="A99" s="11" t="inlineStr">
        <is>
          <t>1464-65-LE26</t>
        </is>
      </c>
      <c r="B99" s="13" t="inlineStr">
        <is>
          <t>TELE ELECTROCARDIOGRAFIA: ARRIENDO DE EQUIPO E INF</t>
        </is>
      </c>
      <c r="C99" s="11" t="n">
        <v>0</v>
      </c>
      <c r="D99" s="13" t="inlineStr">
        <is>
          <t>score 0 &lt; 30</t>
        </is>
      </c>
    </row>
    <row r="100">
      <c r="A100" s="11" t="inlineStr">
        <is>
          <t>1469-262-L126</t>
        </is>
      </c>
      <c r="B100" s="13" t="inlineStr">
        <is>
          <t>CONTRATACIÓN DEL SERVICIO DE INSTALACIÓN Y OPERACIÓN DE MÁQUINAS EXPENDEDORAS DE SNACKS, BEBESTIBLES FRÍOS, CAFÉ Y ARTÍCULOS ACCESORIOS PARA DISPOSITIVOS MÓVILES EN LAS DEPENDENCIAS DE LA UNIVERSIDAD DE TALCA</t>
        </is>
      </c>
      <c r="C100" s="11" t="n">
        <v>8</v>
      </c>
      <c r="D100" s="13" t="inlineStr">
        <is>
          <t>solo mencion de inmueble, sin servicio inmobiliario</t>
        </is>
      </c>
    </row>
    <row r="101">
      <c r="A101" s="11" t="inlineStr">
        <is>
          <t>1469-287-L126</t>
        </is>
      </c>
      <c r="B101" s="13" t="inlineStr">
        <is>
          <t>SERVICIO DE REMODELACIÓN NO ESTRUCTURAL OFICINA DECANATO, FACULTAD DE CIENCIAS DE LA SALUD, UNIVERSIDAD DE TALCA</t>
        </is>
      </c>
      <c r="C101" s="11" t="n">
        <v>10</v>
      </c>
      <c r="D101" s="13" t="inlineStr">
        <is>
          <t>solo mencion de inmueble, sin servicio inmobiliario</t>
        </is>
      </c>
    </row>
    <row r="102">
      <c r="A102" s="11" t="inlineStr">
        <is>
          <t>1469-291-L126</t>
        </is>
      </c>
      <c r="B102" s="13" t="inlineStr">
        <is>
          <t>“SERVICIO ELÉCTRICO PARA SEDE CURICÓ, UNIVERSIDAD DE TALCA”</t>
        </is>
      </c>
      <c r="C102" s="11" t="n">
        <v>8</v>
      </c>
      <c r="D102" s="13" t="inlineStr">
        <is>
          <t>solo mencion de inmueble, sin servicio inmobiliario</t>
        </is>
      </c>
    </row>
    <row r="103">
      <c r="A103" s="11" t="inlineStr">
        <is>
          <t>1487-3-LE26</t>
        </is>
      </c>
      <c r="B103" s="13" t="inlineStr">
        <is>
          <t>Servicio desmontaje traslado reinstalación Antena</t>
        </is>
      </c>
      <c r="C103" s="11" t="n">
        <v>0</v>
      </c>
      <c r="D103" s="13" t="inlineStr">
        <is>
          <t>score 0 &lt; 30</t>
        </is>
      </c>
    </row>
    <row r="104">
      <c r="A104" s="11" t="inlineStr">
        <is>
          <t>1488587-34-LP26</t>
        </is>
      </c>
      <c r="B104" s="13" t="inlineStr">
        <is>
          <t>Habilitación de un Espacio y Oficinas para la Coordinación y Vinculación de Actividades I+D+i+eCampus Andres Bello de la Universidad de La Serena</t>
        </is>
      </c>
      <c r="C104" s="11" t="n">
        <v>16</v>
      </c>
      <c r="D104" s="13" t="inlineStr">
        <is>
          <t>score 16 &lt; 30</t>
        </is>
      </c>
    </row>
    <row r="105">
      <c r="A105" s="11" t="inlineStr">
        <is>
          <t>1501729-14-LE26</t>
        </is>
      </c>
      <c r="B105" s="13" t="inlineStr">
        <is>
          <t>HABILITACIÓN DE OFICINAS ALCALDÍA</t>
        </is>
      </c>
      <c r="C105" s="11" t="n">
        <v>16</v>
      </c>
      <c r="D105" s="13" t="inlineStr">
        <is>
          <t>score 16 &lt; 30</t>
        </is>
      </c>
    </row>
    <row r="106">
      <c r="A106" s="11" t="inlineStr">
        <is>
          <t>1534-2-LE26</t>
        </is>
      </c>
      <c r="B106" s="13" t="inlineStr">
        <is>
          <t>LE-5272 Servicio de Mantención de Oficinas</t>
        </is>
      </c>
      <c r="C106" s="11" t="n">
        <v>10</v>
      </c>
      <c r="D106" s="13" t="inlineStr">
        <is>
          <t>solo mencion de inmueble, sin servicio inmobiliario</t>
        </is>
      </c>
    </row>
    <row r="107">
      <c r="A107" s="11" t="inlineStr">
        <is>
          <t>1536-9-LE26</t>
        </is>
      </c>
      <c r="B107" s="13" t="inlineStr">
        <is>
          <t>HABILITACION MODULOS COMPLEJO FRONTERIZO SAN SEBAS</t>
        </is>
      </c>
      <c r="C107" s="11" t="n">
        <v>0</v>
      </c>
      <c r="D107" s="13" t="inlineStr">
        <is>
          <t>score 0 &lt; 30</t>
        </is>
      </c>
    </row>
    <row r="108">
      <c r="A108" s="11" t="inlineStr">
        <is>
          <t>1548962-1-LP26</t>
        </is>
      </c>
      <c r="B108" s="13" t="inlineStr">
        <is>
          <t>DEINFRA - HABILITACIÓN MODULARES CECAPRO 2027</t>
        </is>
      </c>
      <c r="C108" s="11" t="n">
        <v>10</v>
      </c>
      <c r="D108" s="13" t="inlineStr">
        <is>
          <t>score 10 &lt; 30</t>
        </is>
      </c>
    </row>
    <row r="109">
      <c r="A109" s="11" t="inlineStr">
        <is>
          <t>1549-104-LE26</t>
        </is>
      </c>
      <c r="B109" s="13" t="inlineStr">
        <is>
          <t>ARRIENDO DE REENVASADORA DE MEDICAMENTOS</t>
        </is>
      </c>
      <c r="C109" s="11" t="n">
        <v>0</v>
      </c>
      <c r="D109" s="13" t="inlineStr">
        <is>
          <t>score 0 &lt; 30</t>
        </is>
      </c>
    </row>
    <row r="110">
      <c r="A110" s="11" t="inlineStr">
        <is>
          <t>1549-90-LP26</t>
        </is>
      </c>
      <c r="B110" s="13" t="inlineStr">
        <is>
          <t>ARRIENDO DE 14 SILLONES DE HEMODIÁLISIS</t>
        </is>
      </c>
      <c r="C110" s="11" t="n">
        <v>0</v>
      </c>
      <c r="D110" s="13" t="inlineStr">
        <is>
          <t>score 0 &lt; 30</t>
        </is>
      </c>
    </row>
    <row r="111">
      <c r="A111" s="11" t="inlineStr">
        <is>
          <t>1549-92-LP26</t>
        </is>
      </c>
      <c r="B111" s="13" t="inlineStr">
        <is>
          <t>HABILITACIÓN UNIDAD DE HOSPITALIZACIÓN DOMICILIARI</t>
        </is>
      </c>
      <c r="C111" s="11" t="n">
        <v>0</v>
      </c>
      <c r="D111" s="13" t="inlineStr">
        <is>
          <t>score 0 &lt; 30</t>
        </is>
      </c>
    </row>
    <row r="112">
      <c r="A112" s="11" t="inlineStr">
        <is>
          <t>1549-97-LP26</t>
        </is>
      </c>
      <c r="B112" s="13" t="inlineStr">
        <is>
          <t>ARRIENDO EQUIPO POLISOMNOGRAFIA UNIDAD NEUROLOGIA</t>
        </is>
      </c>
      <c r="C112" s="11" t="n">
        <v>0</v>
      </c>
      <c r="D112" s="13" t="inlineStr">
        <is>
          <t>score 0 &lt; 30</t>
        </is>
      </c>
    </row>
    <row r="113">
      <c r="A113" s="11" t="inlineStr">
        <is>
          <t>1555621-1-LE26</t>
        </is>
      </c>
      <c r="B113" s="13" t="inlineStr">
        <is>
          <t>EQUIPAMIENTO BODEGA SENAPRED COQUIMBO</t>
        </is>
      </c>
      <c r="C113" s="11" t="n">
        <v>7</v>
      </c>
      <c r="D113" s="13" t="inlineStr">
        <is>
          <t>solo mencion de inmueble, sin servicio inmobiliario</t>
        </is>
      </c>
    </row>
    <row r="114">
      <c r="A114" s="11" t="inlineStr">
        <is>
          <t>1558-21-LP26</t>
        </is>
      </c>
      <c r="B114" s="13" t="inlineStr">
        <is>
          <t>Convenio comodato laboratorio</t>
        </is>
      </c>
      <c r="C114" s="11" t="n">
        <v>0</v>
      </c>
      <c r="D114" s="13" t="inlineStr">
        <is>
          <t>score 0 &lt; 30</t>
        </is>
      </c>
    </row>
    <row r="115">
      <c r="A115" s="11" t="inlineStr">
        <is>
          <t>1562-67-L126</t>
        </is>
      </c>
      <c r="B115" s="13" t="inlineStr">
        <is>
          <t>REPARACIÓN DEL EQUIPO DE FUSIÓN PERL X-3, DEL DEPARTAMENTO LABORATORIOS</t>
        </is>
      </c>
      <c r="C115" s="11" t="n">
        <v>5</v>
      </c>
      <c r="D115" s="13" t="inlineStr">
        <is>
          <t>solo mencion de inmueble, sin servicio inmobiliario</t>
        </is>
      </c>
    </row>
    <row r="116">
      <c r="A116" s="11" t="inlineStr">
        <is>
          <t>1574-38-LP26</t>
        </is>
      </c>
      <c r="B116" s="13" t="inlineStr">
        <is>
          <t>SCHEE - CONTRATO SUMINISTRO MANTENCION J.I. Y OFICINAS PROVINCIA DE LIMARI</t>
        </is>
      </c>
      <c r="C116" s="11" t="n">
        <v>10</v>
      </c>
      <c r="D116" s="13" t="inlineStr">
        <is>
          <t>solo mencion de inmueble, sin servicio inmobiliario</t>
        </is>
      </c>
    </row>
    <row r="117">
      <c r="A117" s="11" t="inlineStr">
        <is>
          <t>1576-17-LP26</t>
        </is>
      </c>
      <c r="B117" s="13" t="inlineStr">
        <is>
          <t>SUMINISTRO POR EL SERVICIO DE MANTENCION Y REPARACIONES DE JARDINES INFANTILES Y SALAS CUNAS OFICINAS Y BODEGAS DE LA JUNTA NACIONAL DE JARDINES INFANTILES REGION DEL BIOBIO</t>
        </is>
      </c>
      <c r="C117" s="11" t="n">
        <v>10</v>
      </c>
      <c r="D117" s="13" t="inlineStr">
        <is>
          <t>solo mencion de inmueble, sin servicio inmobiliario</t>
        </is>
      </c>
    </row>
    <row r="118">
      <c r="A118" s="11" t="inlineStr">
        <is>
          <t>1621-24-LE26</t>
        </is>
      </c>
      <c r="B118" s="13" t="inlineStr">
        <is>
          <t>CENTRO DE REHABILITACIÒN HOSPITAL DE MARCHIGUE</t>
        </is>
      </c>
      <c r="C118" s="11" t="n">
        <v>0</v>
      </c>
      <c r="D118" s="13" t="inlineStr">
        <is>
          <t>score 0 &lt; 30</t>
        </is>
      </c>
    </row>
    <row r="119">
      <c r="A119" s="11" t="inlineStr">
        <is>
          <t>1622-22-LP26</t>
        </is>
      </c>
      <c r="B119" s="13" t="inlineStr">
        <is>
          <t>ARRIENDO SISTEMA DE INFORMACIÓN DE LABORATORIO HSV</t>
        </is>
      </c>
      <c r="C119" s="11" t="n">
        <v>0</v>
      </c>
      <c r="D119" s="13" t="inlineStr">
        <is>
          <t>score 0 &lt; 30</t>
        </is>
      </c>
    </row>
    <row r="120">
      <c r="A120" s="11" t="inlineStr">
        <is>
          <t>1638-97-LE26</t>
        </is>
      </c>
      <c r="B120" s="13" t="inlineStr">
        <is>
          <t>MEJORAMIENTO EDIFICIO CONSISTORIAL REPOSICION CUBIERTA CONSISTORIAL SM 7155</t>
        </is>
      </c>
      <c r="C120" s="11" t="n">
        <v>8</v>
      </c>
      <c r="D120" s="13" t="inlineStr">
        <is>
          <t>solo mencion de inmueble, sin servicio inmobiliario</t>
        </is>
      </c>
    </row>
    <row r="121">
      <c r="A121" s="11" t="inlineStr">
        <is>
          <t>1641-392-LP26</t>
        </is>
      </c>
      <c r="B121" s="13" t="inlineStr">
        <is>
          <t>MOR - SERVICIO DE ARRIENDO DE SISTEMA DE MONITOREO NEUROFISIOLÓGICO INTRAOPERATORIO PARA NERVIO FACIAL Y NERVIO LARÍNGEO RECURRENTE</t>
        </is>
      </c>
      <c r="C121" s="11" t="n">
        <v>0</v>
      </c>
      <c r="D121" s="13" t="inlineStr">
        <is>
          <t>score 0 &lt; 30</t>
        </is>
      </c>
    </row>
    <row r="122">
      <c r="A122" s="11" t="inlineStr">
        <is>
          <t>1658-224-LR26</t>
        </is>
      </c>
      <c r="B122" s="13" t="inlineStr">
        <is>
          <t>P.271-2026 CONTRATACIÓN PERSONAL DE APOYO PARA DEPARTAMENTOS DE LA DIRECCIÓN DE OPERACIONES – TEMUCO</t>
        </is>
      </c>
      <c r="C122" s="11" t="n">
        <v>5</v>
      </c>
      <c r="D122" s="13" t="inlineStr">
        <is>
          <t>solo mencion de inmueble, sin servicio inmobiliario</t>
        </is>
      </c>
    </row>
    <row r="123">
      <c r="A123" s="11" t="inlineStr">
        <is>
          <t>1658-226-LP26</t>
        </is>
      </c>
      <c r="B123" s="13" t="inlineStr">
        <is>
          <t>P. 272-2026 ADQUISICIÓN DE MOTORES PARA USO ODONTOLÓGICO PARA ESTABLECIMIENTOS DEPENDIENTES DEL DEPARTAMENTO DE SALUD DE LA MUNICIPALIDAD DE TEMUCO</t>
        </is>
      </c>
      <c r="C123" s="11" t="n">
        <v>5</v>
      </c>
      <c r="D123" s="13" t="inlineStr">
        <is>
          <t>solo mencion de inmueble, sin servicio inmobiliario</t>
        </is>
      </c>
    </row>
    <row r="124">
      <c r="A124" s="11" t="inlineStr">
        <is>
          <t>1658-227-LE26</t>
        </is>
      </c>
      <c r="B124" s="13" t="inlineStr">
        <is>
          <t>P. 283-2026 “AMPLIACIÓN Y HABILITACIÓN DEL CECOSF EL SALAR”</t>
        </is>
      </c>
      <c r="C124" s="11" t="n">
        <v>0</v>
      </c>
      <c r="D124" s="13" t="inlineStr">
        <is>
          <t>score 0 &lt; 30</t>
        </is>
      </c>
    </row>
    <row r="125">
      <c r="A125" s="11" t="inlineStr">
        <is>
          <t>1658-236-LE26</t>
        </is>
      </c>
      <c r="B125" s="13" t="inlineStr">
        <is>
          <t>136-2026 “PROVISIÓN DE NUEVO MONTACARGA EDIFICIO CONSISTORIAL CON MANTENCIÓN POR 12 MESES”</t>
        </is>
      </c>
      <c r="C125" s="11" t="n">
        <v>8</v>
      </c>
      <c r="D125" s="13" t="inlineStr">
        <is>
          <t>solo mencion de inmueble, sin servicio inmobiliario</t>
        </is>
      </c>
    </row>
    <row r="126">
      <c r="A126" s="11" t="inlineStr">
        <is>
          <t>1663-151-LE26</t>
        </is>
      </c>
      <c r="B126" s="13" t="inlineStr">
        <is>
          <t>ARRIENDO DE EQUIPOS BIOIMPEDANCIOMETROS</t>
        </is>
      </c>
      <c r="C126" s="11" t="n">
        <v>0</v>
      </c>
      <c r="D126" s="13" t="inlineStr">
        <is>
          <t>score 0 &lt; 30</t>
        </is>
      </c>
    </row>
    <row r="127">
      <c r="A127" s="11" t="inlineStr">
        <is>
          <t>1663-152-LP26</t>
        </is>
      </c>
      <c r="B127" s="13" t="inlineStr">
        <is>
          <t>ARRIENDO DE EQUIPO ANGIO-OCT</t>
        </is>
      </c>
      <c r="C127" s="11" t="n">
        <v>0</v>
      </c>
      <c r="D127" s="13" t="inlineStr">
        <is>
          <t>score 0 &lt; 30</t>
        </is>
      </c>
    </row>
    <row r="128">
      <c r="A128" s="11" t="inlineStr">
        <is>
          <t>1663-154-LE26</t>
        </is>
      </c>
      <c r="B128" s="13" t="inlineStr">
        <is>
          <t>ARRIENDO DE SISTEMA MOVIL PARA SEDACION</t>
        </is>
      </c>
      <c r="C128" s="11" t="n">
        <v>0</v>
      </c>
      <c r="D128" s="13" t="inlineStr">
        <is>
          <t>score 0 &lt; 30</t>
        </is>
      </c>
    </row>
    <row r="129">
      <c r="A129" s="11" t="inlineStr">
        <is>
          <t>1774-18-LP26</t>
        </is>
      </c>
      <c r="B129" s="13" t="inlineStr">
        <is>
          <t>Servicios traslado funcionarios y mercancías DRAA</t>
        </is>
      </c>
      <c r="C129" s="11" t="n">
        <v>0</v>
      </c>
      <c r="D129" s="13" t="inlineStr">
        <is>
          <t>score 0 &lt; 30</t>
        </is>
      </c>
    </row>
    <row r="130">
      <c r="A130" s="11" t="inlineStr">
        <is>
          <t>1947-180-LP26</t>
        </is>
      </c>
      <c r="B130" s="13" t="inlineStr">
        <is>
          <t>ADQUISICIÓN DE BAJADAS PRIMARIAS Y SECUNDARIAS CON BOMBA DE INFUSIÓN EN COMODATO PARA EL HOSPITAL DE NIÑOS DR. ROBERTO DEL RÍO JHA</t>
        </is>
      </c>
      <c r="C130" s="11" t="n">
        <v>0</v>
      </c>
      <c r="D130" s="13" t="inlineStr">
        <is>
          <t>score 0 &lt; 30</t>
        </is>
      </c>
    </row>
    <row r="131">
      <c r="A131" s="11" t="inlineStr">
        <is>
          <t>1947-194-LP26</t>
        </is>
      </c>
      <c r="B131" s="13" t="inlineStr">
        <is>
          <t>CONTRATACIÓN DEL SERVICIO DE ARRIENDO DE FUENTES DE PODER ININTERRUMPIDAS UPS PARA EL HOSPITAL DE NIÑOS DR. ROBERTO DEL RÍO MMT</t>
        </is>
      </c>
      <c r="C131" s="11" t="n">
        <v>0</v>
      </c>
      <c r="D131" s="13" t="inlineStr">
        <is>
          <t>score 0 &lt; 30</t>
        </is>
      </c>
    </row>
    <row r="132">
      <c r="A132" s="11" t="inlineStr">
        <is>
          <t>1973-103-LP26</t>
        </is>
      </c>
      <c r="B132" s="13" t="inlineStr">
        <is>
          <t>ARRIENDO DE CASILLEROS AUTOATENCIÓN MEDICAMENTOS</t>
        </is>
      </c>
      <c r="C132" s="11" t="n">
        <v>16</v>
      </c>
      <c r="D132" s="13" t="inlineStr">
        <is>
          <t>score 16 &lt; 30</t>
        </is>
      </c>
    </row>
    <row r="133">
      <c r="A133" s="11" t="inlineStr">
        <is>
          <t>1987-6-CO26</t>
        </is>
      </c>
      <c r="B133" s="13" t="inlineStr">
        <is>
          <t xml:space="preserve">LPri ARRIENDO UNID. MODULARES CONTAO RES EX LAGOS 860-2026 08.10.26 I. 22.09.001 </t>
        </is>
      </c>
      <c r="C133" s="11" t="n">
        <v>17</v>
      </c>
      <c r="D133" s="13" t="inlineStr">
        <is>
          <t>score 17 &lt; 30</t>
        </is>
      </c>
    </row>
    <row r="134">
      <c r="A134" s="11" t="inlineStr">
        <is>
          <t>2010-17-O126</t>
        </is>
      </c>
      <c r="B134" s="13" t="inlineStr">
        <is>
          <t>CONSERVACIÓN RUTAS F-818-G Y F-800,COMUNA CASABLANCA,PROVINCIA DE VALPO.</t>
        </is>
      </c>
      <c r="C134" s="11" t="n">
        <v>5</v>
      </c>
      <c r="D134" s="13" t="inlineStr">
        <is>
          <t>solo mencion de inmueble, sin servicio inmobiliario</t>
        </is>
      </c>
    </row>
    <row r="135">
      <c r="A135" s="11" t="inlineStr">
        <is>
          <t>2019-15-E226</t>
        </is>
      </c>
      <c r="B135" s="13" t="inlineStr">
        <is>
          <t>Provisión e Instalación de Ventanas Termopanel CDM</t>
        </is>
      </c>
      <c r="C135" s="11" t="n">
        <v>0</v>
      </c>
      <c r="D135" s="13" t="inlineStr">
        <is>
          <t>score 0 &lt; 30</t>
        </is>
      </c>
    </row>
    <row r="136">
      <c r="A136" s="11" t="inlineStr">
        <is>
          <t>2021-12-LE26</t>
        </is>
      </c>
      <c r="B136" s="13" t="inlineStr">
        <is>
          <t>SERV. DE REPAR. TECHOS MUROS Y CIELO DE EDIFICIO</t>
        </is>
      </c>
      <c r="C136" s="11" t="n">
        <v>8</v>
      </c>
      <c r="D136" s="13" t="inlineStr">
        <is>
          <t>solo mencion de inmueble, sin servicio inmobiliario</t>
        </is>
      </c>
    </row>
    <row r="137">
      <c r="A137" s="11" t="inlineStr">
        <is>
          <t>2069-176-LP26</t>
        </is>
      </c>
      <c r="B137" s="13" t="inlineStr">
        <is>
          <t>MFA  ARRIENDO EQUIPO DE CLIMATIZACIÓN ROOFTOP</t>
        </is>
      </c>
      <c r="C137" s="11" t="n">
        <v>0</v>
      </c>
      <c r="D137" s="13" t="inlineStr">
        <is>
          <t>score 0 &lt; 30</t>
        </is>
      </c>
    </row>
    <row r="138">
      <c r="A138" s="11" t="inlineStr">
        <is>
          <t>2069-186-LR26</t>
        </is>
      </c>
      <c r="B138" s="13" t="inlineStr">
        <is>
          <t>IGS SUM EXÁMENES HEMATOLÓGICOS CON COMODATO HBLT</t>
        </is>
      </c>
      <c r="C138" s="11" t="n">
        <v>0</v>
      </c>
      <c r="D138" s="13" t="inlineStr">
        <is>
          <t>score 0 &lt; 30</t>
        </is>
      </c>
    </row>
    <row r="139">
      <c r="A139" s="11" t="inlineStr">
        <is>
          <t>2102-38-LE26</t>
        </is>
      </c>
      <c r="B139" s="13" t="inlineStr">
        <is>
          <t>Habilitación 2 Box Multiusos Prog de Salud Mental</t>
        </is>
      </c>
      <c r="C139" s="11" t="n">
        <v>0</v>
      </c>
      <c r="D139" s="13" t="inlineStr">
        <is>
          <t>score 0 &lt; 30</t>
        </is>
      </c>
    </row>
    <row r="140">
      <c r="A140" s="11" t="inlineStr">
        <is>
          <t>2102-39-LE26</t>
        </is>
      </c>
      <c r="B140" s="13" t="inlineStr">
        <is>
          <t>HABILITACIÓN SALA TOMA DE MUESTRAS.</t>
        </is>
      </c>
      <c r="C140" s="11" t="n">
        <v>0</v>
      </c>
      <c r="D140" s="13" t="inlineStr">
        <is>
          <t>score 0 &lt; 30</t>
        </is>
      </c>
    </row>
    <row r="141">
      <c r="A141" s="11" t="inlineStr">
        <is>
          <t>2111-242-LP26</t>
        </is>
      </c>
      <c r="B141" s="13" t="inlineStr">
        <is>
          <t>SERVICIO DE ARRIENDO DE TORRES DE LAPAROSCOPIA</t>
        </is>
      </c>
      <c r="C141" s="11" t="n">
        <v>0</v>
      </c>
      <c r="D141" s="13" t="inlineStr">
        <is>
          <t>score 0 &lt; 30</t>
        </is>
      </c>
    </row>
    <row r="142">
      <c r="A142" s="11" t="inlineStr">
        <is>
          <t>2126-139-LR26</t>
        </is>
      </c>
      <c r="B142" s="13" t="inlineStr">
        <is>
          <t>Convenio de Suministro de Hemodiálisis con Arriendo de Equipamiento para el Hospital San Pablo de Coquimbo</t>
        </is>
      </c>
      <c r="C142" s="11" t="n">
        <v>0</v>
      </c>
      <c r="D142" s="13" t="inlineStr">
        <is>
          <t>score 0 &lt; 30</t>
        </is>
      </c>
    </row>
    <row r="143">
      <c r="A143" s="11" t="inlineStr">
        <is>
          <t>2126-140-LE26</t>
        </is>
      </c>
      <c r="B143" s="13" t="inlineStr">
        <is>
          <t>SERVICIO DE REACONDICIONAMIENTO DE LA UNIDAD PREQUIRURGICA Y HABILITACIÓN DE BOX SEO DEL HOSPITAL SAN PABLO DE COQUIMBO</t>
        </is>
      </c>
      <c r="C143" s="11" t="n">
        <v>0</v>
      </c>
      <c r="D143" s="13" t="inlineStr">
        <is>
          <t>score 0 &lt; 30</t>
        </is>
      </c>
    </row>
    <row r="144">
      <c r="A144" s="11" t="inlineStr">
        <is>
          <t>2173-33-LP26</t>
        </is>
      </c>
      <c r="B144" s="13" t="inlineStr">
        <is>
          <t>OBRAS DE CIERRE PERIMETRAL FACHADAS DE EDIFICIOS</t>
        </is>
      </c>
      <c r="C144" s="11" t="n">
        <v>8</v>
      </c>
      <c r="D144" s="13" t="inlineStr">
        <is>
          <t>solo mencion de inmueble, sin servicio inmobiliario</t>
        </is>
      </c>
    </row>
    <row r="145">
      <c r="A145" s="11" t="inlineStr">
        <is>
          <t>2180-16-LE26</t>
        </is>
      </c>
      <c r="B145" s="13" t="inlineStr">
        <is>
          <t>habilitacion oficinas en valdivia y osorno</t>
        </is>
      </c>
      <c r="C145" s="11" t="n">
        <v>16</v>
      </c>
      <c r="D145" s="13" t="inlineStr">
        <is>
          <t>score 16 &lt; 30</t>
        </is>
      </c>
    </row>
    <row r="146">
      <c r="A146" s="11" t="inlineStr">
        <is>
          <t>2258-144-LP26</t>
        </is>
      </c>
      <c r="B146" s="13" t="inlineStr">
        <is>
          <t>ARRIENDO DE ASPIRADOR ULTIMA GENERACION Y NEUROMONITOREO</t>
        </is>
      </c>
      <c r="C146" s="11" t="n">
        <v>0</v>
      </c>
      <c r="D146" s="13" t="inlineStr">
        <is>
          <t>score 0 &lt; 30</t>
        </is>
      </c>
    </row>
    <row r="147">
      <c r="A147" s="11" t="inlineStr">
        <is>
          <t>2258-210-LR26</t>
        </is>
      </c>
      <c r="B147" s="13" t="inlineStr">
        <is>
          <t>TEST MOLECULARES CON ENTREGA DE EQUIPOS EN COMODATO PARA LA UNIDAD DE LABORATORIO CLÍNICO</t>
        </is>
      </c>
      <c r="C147" s="11" t="n">
        <v>0</v>
      </c>
      <c r="D147" s="13" t="inlineStr">
        <is>
          <t>score 0 &lt; 30</t>
        </is>
      </c>
    </row>
    <row r="148">
      <c r="A148" s="11" t="inlineStr">
        <is>
          <t>2261-35-O126</t>
        </is>
      </c>
      <c r="B148" s="13" t="inlineStr">
        <is>
          <t>Conservación camino San Ramón-Coipulafquen, comuna de Padre Las Casas</t>
        </is>
      </c>
      <c r="C148" s="11" t="n">
        <v>5</v>
      </c>
      <c r="D148" s="13" t="inlineStr">
        <is>
          <t>solo mencion de inmueble, sin servicio inmobiliario</t>
        </is>
      </c>
    </row>
    <row r="149">
      <c r="A149" s="11" t="inlineStr">
        <is>
          <t>2271-72-LE26</t>
        </is>
      </c>
      <c r="B149" s="13" t="inlineStr">
        <is>
          <t>Provisión Instalación y Habilitación de Modulares</t>
        </is>
      </c>
      <c r="C149" s="11" t="n">
        <v>10</v>
      </c>
      <c r="D149" s="13" t="inlineStr">
        <is>
          <t>score 10 &lt; 30</t>
        </is>
      </c>
    </row>
    <row r="150">
      <c r="A150" s="11" t="inlineStr">
        <is>
          <t>2279-71-CO26</t>
        </is>
      </c>
      <c r="B150" s="13" t="inlineStr">
        <is>
          <t>SP 754 Servicio de Arriendo de Bodegas</t>
        </is>
      </c>
      <c r="C150" s="11" t="n">
        <v>19</v>
      </c>
      <c r="D150" s="13" t="inlineStr">
        <is>
          <t>score 19 &lt; 30</t>
        </is>
      </c>
    </row>
    <row r="151">
      <c r="A151" s="11" t="inlineStr">
        <is>
          <t>2295-104-LP26</t>
        </is>
      </c>
      <c r="B151" s="13" t="inlineStr">
        <is>
          <t>ADQUISICIÓN EQUIPOS ODONTOLOGICOS PARA EL DEPARTAMENTO DE SALUD TALCA</t>
        </is>
      </c>
      <c r="C151" s="11" t="n">
        <v>5</v>
      </c>
      <c r="D151" s="13" t="inlineStr">
        <is>
          <t>solo mencion de inmueble, sin servicio inmobiliario</t>
        </is>
      </c>
    </row>
    <row r="152">
      <c r="A152" s="11" t="inlineStr">
        <is>
          <t>2297-33-LE26</t>
        </is>
      </c>
      <c r="B152" s="13" t="inlineStr">
        <is>
          <t>MANTENCION RECINTOS MUNICIPALES.</t>
        </is>
      </c>
      <c r="C152" s="11" t="n">
        <v>5</v>
      </c>
      <c r="D152" s="13" t="inlineStr">
        <is>
          <t>solo mencion de inmueble, sin servicio inmobiliario</t>
        </is>
      </c>
    </row>
    <row r="153">
      <c r="A153" s="11" t="inlineStr">
        <is>
          <t>2308-88-LE26</t>
        </is>
      </c>
      <c r="B153" s="13" t="inlineStr">
        <is>
          <t>ADQUISICIÓN HABILITACIÓN Y PUESTA EN MARCHA BÁSCULA VERTEDERO</t>
        </is>
      </c>
      <c r="C153" s="11" t="n">
        <v>8</v>
      </c>
      <c r="D153" s="13" t="inlineStr">
        <is>
          <t>score 8 &lt; 30</t>
        </is>
      </c>
    </row>
    <row r="154">
      <c r="A154" s="11" t="inlineStr">
        <is>
          <t>2322-90-LR26</t>
        </is>
      </c>
      <c r="B154" s="13" t="inlineStr">
        <is>
          <t xml:space="preserve">Ampliación y Mejoramiento de Sede y Multicancha  Sector Las Terrazas </t>
        </is>
      </c>
      <c r="C154" s="11" t="n">
        <v>8</v>
      </c>
      <c r="D154" s="13" t="inlineStr">
        <is>
          <t>solo mencion de inmueble, sin servicio inmobiliario</t>
        </is>
      </c>
    </row>
    <row r="155">
      <c r="A155" s="11" t="inlineStr">
        <is>
          <t>2322-98-LP26</t>
        </is>
      </c>
      <c r="B155" s="13" t="inlineStr">
        <is>
          <t xml:space="preserve"> Reposición Sede N 7 Población Rafael Torreblanca </t>
        </is>
      </c>
      <c r="C155" s="11" t="n">
        <v>8</v>
      </c>
      <c r="D155" s="13" t="inlineStr">
        <is>
          <t>solo mencion de inmueble, sin servicio inmobiliario</t>
        </is>
      </c>
    </row>
    <row r="156">
      <c r="A156" s="11" t="inlineStr">
        <is>
          <t>2324-118-LP26</t>
        </is>
      </c>
      <c r="B156" s="13" t="inlineStr">
        <is>
          <t>LICITACIÓN PÚBLICA N°532026 SERVICIO DE MANTENCIÓN DE ALUMBRADO PÚBLICO PERIODO 2026 DEPARTAMENTO ELÉCTRICO MUNICIPALIDAD DE PUERTO MONTT</t>
        </is>
      </c>
      <c r="C156" s="11" t="n">
        <v>5</v>
      </c>
      <c r="D156" s="13" t="inlineStr">
        <is>
          <t>solo mencion de inmueble, sin servicio inmobiliario</t>
        </is>
      </c>
    </row>
    <row r="157">
      <c r="A157" s="11" t="inlineStr">
        <is>
          <t>233-3-LE26</t>
        </is>
      </c>
      <c r="B157" s="13" t="inlineStr">
        <is>
          <t>SERVICIO REPARACION EDIFICIO DELEGACIÓN PROVINCIAL</t>
        </is>
      </c>
      <c r="C157" s="11" t="n">
        <v>8</v>
      </c>
      <c r="D157" s="13" t="inlineStr">
        <is>
          <t>solo mencion de inmueble, sin servicio inmobiliario</t>
        </is>
      </c>
    </row>
    <row r="158">
      <c r="A158" s="11" t="inlineStr">
        <is>
          <t>2337-30-LR26</t>
        </is>
      </c>
      <c r="B158" s="13" t="inlineStr">
        <is>
          <t>COMODATO  EQUIPO AUTOMATICO DE QUIMICA MAS EQUIPO ANALIZADOR DE ORINA</t>
        </is>
      </c>
      <c r="C158" s="11" t="n">
        <v>10</v>
      </c>
      <c r="D158" s="13" t="inlineStr">
        <is>
          <t>score 10 &lt; 30</t>
        </is>
      </c>
    </row>
    <row r="159">
      <c r="A159" s="11" t="inlineStr">
        <is>
          <t>2342-36-LR26</t>
        </is>
      </c>
      <c r="B159" s="13" t="inlineStr">
        <is>
          <t>CONCESIÓN DE ESTACIONAMIENTOS EN CALLES DE LA ZONA CENTRO DE LA COMUNA DE SAN BERNARDO APLICANDO SISTEMA DE CONTROL DE TIEMPO DE USO CAPTADORES DE DATOS</t>
        </is>
      </c>
      <c r="C159" s="11" t="n">
        <v>5</v>
      </c>
      <c r="D159" s="13" t="inlineStr">
        <is>
          <t>solo mencion de inmueble, sin servicio inmobiliario</t>
        </is>
      </c>
    </row>
    <row r="160">
      <c r="A160" s="11" t="inlineStr">
        <is>
          <t>2345-139-LR26</t>
        </is>
      </c>
      <c r="B160" s="13" t="inlineStr">
        <is>
          <t>Mantención Preventiva y Correctiva Reparaciones Mejoras y Urgencias de los Sistemas Eléctricos en los Inmuebles</t>
        </is>
      </c>
      <c r="C160" s="11" t="n">
        <v>14</v>
      </c>
      <c r="D160" s="13" t="inlineStr">
        <is>
          <t>solo mencion de inmueble, sin servicio inmobiliario</t>
        </is>
      </c>
    </row>
    <row r="161">
      <c r="A161" s="11" t="inlineStr">
        <is>
          <t>2345-159-LR26</t>
        </is>
      </c>
      <c r="B161" s="13" t="inlineStr">
        <is>
          <t>Arriendo de Oficinas Modulares para el Proceso de Renovación de Permisos de Circulación para los años 2027-2029</t>
        </is>
      </c>
      <c r="C161" s="11" t="n">
        <v>22</v>
      </c>
      <c r="D161" s="13" t="inlineStr">
        <is>
          <t>score 22 &lt; 30</t>
        </is>
      </c>
    </row>
    <row r="162">
      <c r="A162" s="11" t="inlineStr">
        <is>
          <t>2381-74-LE26</t>
        </is>
      </c>
      <c r="B162" s="13" t="inlineStr">
        <is>
          <t>CONSTRUCCIÓN 3 BOX Y BODEGA CESFAM PAIPOTE COPIAPÓ</t>
        </is>
      </c>
      <c r="C162" s="11" t="n">
        <v>7</v>
      </c>
      <c r="D162" s="13" t="inlineStr">
        <is>
          <t>solo mencion de inmueble, sin servicio inmobiliario</t>
        </is>
      </c>
    </row>
    <row r="163">
      <c r="A163" s="11" t="inlineStr">
        <is>
          <t>2387-87-LE26</t>
        </is>
      </c>
      <c r="B163" s="13" t="inlineStr">
        <is>
          <t>Acciones Formativas Tercerizadas del Departamento de Desarrollo Rural 2026</t>
        </is>
      </c>
      <c r="C163" s="11" t="n">
        <v>5</v>
      </c>
      <c r="D163" s="13" t="inlineStr">
        <is>
          <t>solo mencion de inmueble, sin servicio inmobiliario</t>
        </is>
      </c>
    </row>
    <row r="164">
      <c r="A164" s="11" t="inlineStr">
        <is>
          <t>2401-116-L126</t>
        </is>
      </c>
      <c r="B164" s="13" t="inlineStr">
        <is>
          <t>SERVICIO DE TRASLADO -DIDECO</t>
        </is>
      </c>
      <c r="C164" s="11" t="n">
        <v>0</v>
      </c>
      <c r="D164" s="13" t="inlineStr">
        <is>
          <t>score 0 &lt; 30</t>
        </is>
      </c>
    </row>
    <row r="165">
      <c r="A165" s="11" t="inlineStr">
        <is>
          <t>2402-101-L126</t>
        </is>
      </c>
      <c r="B165" s="13" t="inlineStr">
        <is>
          <t>Servicios de reparación para las dependencias ubicado en Calle Lourdes # 463,</t>
        </is>
      </c>
      <c r="C165" s="11" t="n">
        <v>8</v>
      </c>
      <c r="D165" s="13" t="inlineStr">
        <is>
          <t>solo mencion de inmueble, sin servicio inmobiliario</t>
        </is>
      </c>
    </row>
    <row r="166">
      <c r="A166" s="11" t="inlineStr">
        <is>
          <t>2403-74-LE26</t>
        </is>
      </c>
      <c r="B166" s="13" t="inlineStr">
        <is>
          <t>Arriendo de Baños químicos</t>
        </is>
      </c>
      <c r="C166" s="11" t="n">
        <v>14</v>
      </c>
      <c r="D166" s="13" t="inlineStr">
        <is>
          <t>score 14 &lt; 30</t>
        </is>
      </c>
    </row>
    <row r="167">
      <c r="A167" s="11" t="inlineStr">
        <is>
          <t>2405-108-LR26</t>
        </is>
      </c>
      <c r="B167" s="13" t="inlineStr">
        <is>
          <t>HABILITACION Y URBANIZACION LOTEO ALTOS</t>
        </is>
      </c>
      <c r="C167" s="11" t="n">
        <v>6</v>
      </c>
      <c r="D167" s="13" t="inlineStr">
        <is>
          <t>score 6 &lt; 30</t>
        </is>
      </c>
    </row>
    <row r="168">
      <c r="A168" s="11" t="inlineStr">
        <is>
          <t>2405-147-B226</t>
        </is>
      </c>
      <c r="B168" s="13" t="inlineStr">
        <is>
          <t>REMODELACIÓN SEDE SOCIAL JOSE MIGUEL CARRERA PROPUESTA PRIVADA</t>
        </is>
      </c>
      <c r="C168" s="11" t="n">
        <v>8</v>
      </c>
      <c r="D168" s="13" t="inlineStr">
        <is>
          <t>solo mencion de inmueble, sin servicio inmobiliario</t>
        </is>
      </c>
    </row>
    <row r="169">
      <c r="A169" s="11" t="inlineStr">
        <is>
          <t>2409-111-L126</t>
        </is>
      </c>
      <c r="B169" s="13" t="inlineStr">
        <is>
          <t>SERVICIO TRASLADO ALUMNAS A JORNADAS REFLEXION, ESCUELA D-926</t>
        </is>
      </c>
      <c r="C169" s="11" t="n">
        <v>0</v>
      </c>
      <c r="D169" s="13" t="inlineStr">
        <is>
          <t>score 0 &lt; 30</t>
        </is>
      </c>
    </row>
    <row r="170">
      <c r="A170" s="11" t="inlineStr">
        <is>
          <t>2427-79-LE26</t>
        </is>
      </c>
      <c r="B170" s="13" t="inlineStr">
        <is>
          <t>ADQUISICIÓN DE REPUESTOS HIDRAULICOS-DEPARTAMENTO GESTIÓN DE FLOTA</t>
        </is>
      </c>
      <c r="C170" s="11" t="n">
        <v>5</v>
      </c>
      <c r="D170" s="13" t="inlineStr">
        <is>
          <t>solo mencion de inmueble, sin servicio inmobiliario</t>
        </is>
      </c>
    </row>
    <row r="171">
      <c r="A171" s="11" t="inlineStr">
        <is>
          <t>2427-80-LE26</t>
        </is>
      </c>
      <c r="B171" s="13" t="inlineStr">
        <is>
          <t>ADQUISICIÓN HOJAS DE PAQUETES DE RESORTES Y OTROS-DEPARTAMENTO GESTIÓN DE FLOTA</t>
        </is>
      </c>
      <c r="C171" s="11" t="n">
        <v>5</v>
      </c>
      <c r="D171" s="13" t="inlineStr">
        <is>
          <t>solo mencion de inmueble, sin servicio inmobiliario</t>
        </is>
      </c>
    </row>
    <row r="172">
      <c r="A172" s="11" t="inlineStr">
        <is>
          <t>2440-63-LE26</t>
        </is>
      </c>
      <c r="B172" s="13" t="inlineStr">
        <is>
          <t>Habilitación y Adquisición de Equipo Informático para la Instalación conexión y Administración de la RED de datos e Iluminación WIFI para el Establecimiento Educacional Instituto Ingles de Curicó</t>
        </is>
      </c>
      <c r="C172" s="11" t="n">
        <v>8</v>
      </c>
      <c r="D172" s="13" t="inlineStr">
        <is>
          <t>score 8 &lt; 30</t>
        </is>
      </c>
    </row>
    <row r="173">
      <c r="A173" s="11" t="inlineStr">
        <is>
          <t>2446-271-LR26</t>
        </is>
      </c>
      <c r="B173" s="13" t="inlineStr">
        <is>
          <t>REHABILITACION CASA DE LA CULTURA</t>
        </is>
      </c>
      <c r="C173" s="11" t="n">
        <v>11</v>
      </c>
      <c r="D173" s="13" t="inlineStr">
        <is>
          <t>score 11 &lt; 30</t>
        </is>
      </c>
    </row>
    <row r="174">
      <c r="A174" s="11" t="inlineStr">
        <is>
          <t>2446-286-LP26</t>
        </is>
      </c>
      <c r="B174" s="13" t="inlineStr">
        <is>
          <t>REPOSICIÓN SEDE COMUNITARIA EL OLIVAR COQUIMBO 2</t>
        </is>
      </c>
      <c r="C174" s="11" t="n">
        <v>11</v>
      </c>
      <c r="D174" s="13" t="inlineStr">
        <is>
          <t>score 11 &lt; 30</t>
        </is>
      </c>
    </row>
    <row r="175">
      <c r="A175" s="11" t="inlineStr">
        <is>
          <t>2446-299-LE26</t>
        </is>
      </c>
      <c r="B175" s="13" t="inlineStr">
        <is>
          <t>MANTENCIÓN CASA TURISMO</t>
        </is>
      </c>
      <c r="C175" s="11" t="n">
        <v>5</v>
      </c>
      <c r="D175" s="13" t="inlineStr">
        <is>
          <t>solo mencion de inmueble, sin servicio inmobiliario</t>
        </is>
      </c>
    </row>
    <row r="176">
      <c r="A176" s="11" t="inlineStr">
        <is>
          <t>2452-24-L126</t>
        </is>
      </c>
      <c r="B176" s="13" t="inlineStr">
        <is>
          <t>MEJORAMIENTO DE INFRAESTRUCTURA EN INMUEBLE</t>
        </is>
      </c>
      <c r="C176" s="11" t="n">
        <v>14</v>
      </c>
      <c r="D176" s="13" t="inlineStr">
        <is>
          <t>solo mencion de inmueble, sin servicio inmobiliario</t>
        </is>
      </c>
    </row>
    <row r="177">
      <c r="A177" s="11" t="inlineStr">
        <is>
          <t>2460-139-LE26</t>
        </is>
      </c>
      <c r="B177" s="13" t="inlineStr">
        <is>
          <t>MEJORAMIENTO DEPARTAMENTO DE RENTAS</t>
        </is>
      </c>
      <c r="C177" s="11" t="n">
        <v>5</v>
      </c>
      <c r="D177" s="13" t="inlineStr">
        <is>
          <t>solo mencion de inmueble, sin servicio inmobiliario</t>
        </is>
      </c>
    </row>
    <row r="178">
      <c r="A178" s="11" t="inlineStr">
        <is>
          <t>2483-240-LP26</t>
        </is>
      </c>
      <c r="B178" s="13" t="inlineStr">
        <is>
          <t>SUMINISTRO DE MATERIALES DE OFICINA PARA DEPARTAMENTO Y CENTROS DE SALUD MUNICIPALIDAD DE QUILICURA NUEVO LLAMADO</t>
        </is>
      </c>
      <c r="C178" s="11" t="n">
        <v>10</v>
      </c>
      <c r="D178" s="13" t="inlineStr">
        <is>
          <t>solo mencion de inmueble, sin servicio inmobiliario</t>
        </is>
      </c>
    </row>
    <row r="179">
      <c r="A179" s="11" t="inlineStr">
        <is>
          <t>2490-90-LR26</t>
        </is>
      </c>
      <c r="B179" s="13" t="inlineStr">
        <is>
          <t>ARRIENDO DE FLOTA VEHICULAR PARA LA MUNICIPALIDAD DE PROVIDENCIA.</t>
        </is>
      </c>
      <c r="C179" s="11" t="n">
        <v>16</v>
      </c>
      <c r="D179" s="13" t="inlineStr">
        <is>
          <t>score 16 &lt; 30</t>
        </is>
      </c>
    </row>
    <row r="180">
      <c r="A180" s="11" t="inlineStr">
        <is>
          <t>2494-88-LP26</t>
        </is>
      </c>
      <c r="B180" s="13" t="inlineStr">
        <is>
          <t xml:space="preserve">CONSTRUCCIÓN SEDE CLUB DE RODEO CHILENO DE VILLA ORTEGA COYHAIQUE </t>
        </is>
      </c>
      <c r="C180" s="11" t="n">
        <v>8</v>
      </c>
      <c r="D180" s="13" t="inlineStr">
        <is>
          <t>solo mencion de inmueble, sin servicio inmobiliario</t>
        </is>
      </c>
    </row>
    <row r="181">
      <c r="A181" s="11" t="inlineStr">
        <is>
          <t>2563-37-LP26</t>
        </is>
      </c>
      <c r="B181" s="13" t="inlineStr">
        <is>
          <t>ARRIENDO DE DOS CHECKPOINT AEROPUERTO DIEGO ARACENA</t>
        </is>
      </c>
      <c r="C181" s="11" t="n">
        <v>0</v>
      </c>
      <c r="D181" s="13" t="inlineStr">
        <is>
          <t>score 0 &lt; 30</t>
        </is>
      </c>
    </row>
    <row r="182">
      <c r="A182" s="11" t="inlineStr">
        <is>
          <t>2591-106-LR26</t>
        </is>
      </c>
      <c r="B182" s="13" t="inlineStr">
        <is>
          <t>REPOSICION OFICINA SRCEI POZO ALMONTE</t>
        </is>
      </c>
      <c r="C182" s="11" t="n">
        <v>10</v>
      </c>
      <c r="D182" s="13" t="inlineStr">
        <is>
          <t>solo mencion de inmueble, sin servicio inmobiliario</t>
        </is>
      </c>
    </row>
    <row r="183">
      <c r="A183" s="11" t="inlineStr">
        <is>
          <t>2591-182-E226</t>
        </is>
      </c>
      <c r="B183" s="13" t="inlineStr">
        <is>
          <t>MEJORAMIENTO Y REMODELACION DE BODEGA ACTIVO FIJO</t>
        </is>
      </c>
      <c r="C183" s="11" t="n">
        <v>7</v>
      </c>
      <c r="D183" s="13" t="inlineStr">
        <is>
          <t>solo mencion de inmueble, sin servicio inmobiliario</t>
        </is>
      </c>
    </row>
    <row r="184">
      <c r="A184" s="11" t="inlineStr">
        <is>
          <t>2627-18-LR26</t>
        </is>
      </c>
      <c r="B184" s="13" t="inlineStr">
        <is>
          <t>MEJORAMIENTO RECINTO CLUB DEPORTIVO INTERSPORTING</t>
        </is>
      </c>
      <c r="C184" s="11" t="n">
        <v>5</v>
      </c>
      <c r="D184" s="13" t="inlineStr">
        <is>
          <t>solo mencion de inmueble, sin servicio inmobiliario</t>
        </is>
      </c>
    </row>
    <row r="185">
      <c r="A185" s="11" t="inlineStr">
        <is>
          <t>2656-77-LP26</t>
        </is>
      </c>
      <c r="B185" s="13" t="inlineStr">
        <is>
          <t>ARRIENDO SISTEMAS MUNICIPALES Y CLOUD COMPUTING</t>
        </is>
      </c>
      <c r="C185" s="11" t="n">
        <v>0</v>
      </c>
      <c r="D185" s="13" t="inlineStr">
        <is>
          <t>score 0 &lt; 30</t>
        </is>
      </c>
    </row>
    <row r="186">
      <c r="A186" s="11" t="inlineStr">
        <is>
          <t>2667-39-LR26</t>
        </is>
      </c>
      <c r="B186" s="13" t="inlineStr">
        <is>
          <t>CONSTRUCCIÓN NUEVO EDIFICIO 37° COMISARIA DE VITACURA</t>
        </is>
      </c>
      <c r="C186" s="11" t="n">
        <v>11</v>
      </c>
      <c r="D186" s="13" t="inlineStr">
        <is>
          <t>score 11 &lt; 30</t>
        </is>
      </c>
    </row>
    <row r="187">
      <c r="A187" s="11" t="inlineStr">
        <is>
          <t>2667-71-LR26</t>
        </is>
      </c>
      <c r="B187" s="13" t="inlineStr">
        <is>
          <t>ARRIENDO SOPORTE Y MANTENCIÓN DE CENTRAL TELEFONICA IP TELEFONOS IP Y PLATAFORMA DE CONTACT CENTER</t>
        </is>
      </c>
      <c r="C187" s="11" t="n">
        <v>16</v>
      </c>
      <c r="D187" s="13" t="inlineStr">
        <is>
          <t>score 16 &lt; 30</t>
        </is>
      </c>
    </row>
    <row r="188">
      <c r="A188" s="11" t="inlineStr">
        <is>
          <t>2667-97-LP26</t>
        </is>
      </c>
      <c r="B188" s="13" t="inlineStr">
        <is>
          <t>SERVICIO DE PRESTACIONES DE KINESIOLOGÍA YO REHABILITACIÓN PARA VECINOS DE LA COMUNA DE VITACURA CON VULNERABILIDAD MANIFIESTA</t>
        </is>
      </c>
      <c r="C188" s="11" t="n">
        <v>0</v>
      </c>
      <c r="D188" s="13" t="inlineStr">
        <is>
          <t>score 0 &lt; 30</t>
        </is>
      </c>
    </row>
    <row r="189">
      <c r="A189" s="11" t="inlineStr">
        <is>
          <t>2675-114-LP26</t>
        </is>
      </c>
      <c r="B189" s="13" t="inlineStr">
        <is>
          <t>MEJORAMIENTO CUBIERTAS SEDES VECINALES VILLA LOS ANGELES AVENIDA EL RINCON Y RENACER DE PICARQUIN MOSTAZAL</t>
        </is>
      </c>
      <c r="C189" s="11" t="n">
        <v>8</v>
      </c>
      <c r="D189" s="13" t="inlineStr">
        <is>
          <t>solo mencion de inmueble, sin servicio inmobiliario</t>
        </is>
      </c>
    </row>
    <row r="190">
      <c r="A190" s="11" t="inlineStr">
        <is>
          <t>2675-125-LP26</t>
        </is>
      </c>
      <c r="B190" s="13" t="inlineStr">
        <is>
          <t>NUEVO LLAMADO CONST SEDE V. RIOS DE CHILE MOSTAZAL</t>
        </is>
      </c>
      <c r="C190" s="11" t="n">
        <v>8</v>
      </c>
      <c r="D190" s="13" t="inlineStr">
        <is>
          <t>solo mencion de inmueble, sin servicio inmobiliario</t>
        </is>
      </c>
    </row>
    <row r="191">
      <c r="A191" s="11" t="inlineStr">
        <is>
          <t>2697-55-LR26</t>
        </is>
      </c>
      <c r="B191" s="13" t="inlineStr">
        <is>
          <t>HABILITACIÓN CASA DE OFICIOS</t>
        </is>
      </c>
      <c r="C191" s="11" t="n">
        <v>11</v>
      </c>
      <c r="D191" s="13" t="inlineStr">
        <is>
          <t>score 11 &lt; 30</t>
        </is>
      </c>
    </row>
    <row r="192">
      <c r="A192" s="11" t="inlineStr">
        <is>
          <t>2697-57-LE26</t>
        </is>
      </c>
      <c r="B192" s="13" t="inlineStr">
        <is>
          <t>SERVICIO DE ATENCIÓN Y PRODUCCIÓN DE EVENTOS PARA EL DÍA DEL FUNCIONARIO AÑO 2026 QUE INCLUYE TRASLADO DE FUNCIONARIOS</t>
        </is>
      </c>
      <c r="C192" s="11" t="n">
        <v>6</v>
      </c>
      <c r="D192" s="13" t="inlineStr">
        <is>
          <t>score 6 &lt; 30</t>
        </is>
      </c>
    </row>
    <row r="193">
      <c r="A193" s="11" t="inlineStr">
        <is>
          <t>2704-83-L126</t>
        </is>
      </c>
      <c r="B193" s="13" t="inlineStr">
        <is>
          <t>(SC 5764) Diseño y elaboración de Reporte de Impacto 2026 para la Oficina de Transferencia y Licenciamiento</t>
        </is>
      </c>
      <c r="C193" s="11" t="n">
        <v>22</v>
      </c>
      <c r="D193" s="13" t="inlineStr">
        <is>
          <t>score 22 &lt; 30</t>
        </is>
      </c>
    </row>
    <row r="194">
      <c r="A194" s="11" t="inlineStr">
        <is>
          <t>2705-64-LE26</t>
        </is>
      </c>
      <c r="B194" s="13" t="inlineStr">
        <is>
          <t>ARRIENDO DE SOPORTE MÁS TELA PUBLICITARIA SC 4450</t>
        </is>
      </c>
      <c r="C194" s="11" t="n">
        <v>0</v>
      </c>
      <c r="D194" s="13" t="inlineStr">
        <is>
          <t>score 0 &lt; 30</t>
        </is>
      </c>
    </row>
    <row r="195">
      <c r="A195" s="11" t="inlineStr">
        <is>
          <t>2709-62-LP26</t>
        </is>
      </c>
      <c r="B195" s="13" t="inlineStr">
        <is>
          <t>REPOSICIÓN SEDE SOCIAL LOS LEICES COMUNA DE OVALLE CÓDIGO BIP 40073288-0</t>
        </is>
      </c>
      <c r="C195" s="11" t="n">
        <v>8</v>
      </c>
      <c r="D195" s="13" t="inlineStr">
        <is>
          <t>solo mencion de inmueble, sin servicio inmobiliario</t>
        </is>
      </c>
    </row>
    <row r="196">
      <c r="A196" s="11" t="inlineStr">
        <is>
          <t>2710-81-LE26</t>
        </is>
      </c>
      <c r="B196" s="13" t="inlineStr">
        <is>
          <t xml:space="preserve">CONSTRUCCIÓN DE BODEGA DE FICHAS Y CIRCULACIONES </t>
        </is>
      </c>
      <c r="C196" s="11" t="n">
        <v>7</v>
      </c>
      <c r="D196" s="13" t="inlineStr">
        <is>
          <t>solo mencion de inmueble, sin servicio inmobiliario</t>
        </is>
      </c>
    </row>
    <row r="197">
      <c r="A197" s="11" t="inlineStr">
        <is>
          <t>2710-83-LE26</t>
        </is>
      </c>
      <c r="B197" s="13" t="inlineStr">
        <is>
          <t>MEJORAMIENTO DEPENDENCIAS DEL CEMENTERIO MUNICIPAL</t>
        </is>
      </c>
      <c r="C197" s="11" t="n">
        <v>8</v>
      </c>
      <c r="D197" s="13" t="inlineStr">
        <is>
          <t>solo mencion de inmueble, sin servicio inmobiliario</t>
        </is>
      </c>
    </row>
    <row r="198">
      <c r="A198" s="11" t="inlineStr">
        <is>
          <t>2710-84-LR26</t>
        </is>
      </c>
      <c r="B198" s="13" t="inlineStr">
        <is>
          <t>COMODATO DE EQUIPOS Y SUMINISTRO LABORATORIO</t>
        </is>
      </c>
      <c r="C198" s="11" t="n">
        <v>0</v>
      </c>
      <c r="D198" s="13" t="inlineStr">
        <is>
          <t>score 0 &lt; 30</t>
        </is>
      </c>
    </row>
    <row r="199">
      <c r="A199" s="11" t="inlineStr">
        <is>
          <t>2713-191-LE26</t>
        </is>
      </c>
      <c r="B199" s="13" t="inlineStr">
        <is>
          <t>Mantención Acceso Edificio Consistorial</t>
        </is>
      </c>
      <c r="C199" s="11" t="n">
        <v>8</v>
      </c>
      <c r="D199" s="13" t="inlineStr">
        <is>
          <t>solo mencion de inmueble, sin servicio inmobiliario</t>
        </is>
      </c>
    </row>
    <row r="200">
      <c r="A200" s="11" t="inlineStr">
        <is>
          <t>2741-67-LP26</t>
        </is>
      </c>
      <c r="B200" s="13" t="inlineStr">
        <is>
          <t>MEJORAMIENTO CANCHA DE FUTBOL 3 RECINTO ANFA</t>
        </is>
      </c>
      <c r="C200" s="11" t="n">
        <v>5</v>
      </c>
      <c r="D200" s="13" t="inlineStr">
        <is>
          <t>solo mencion de inmueble, sin servicio inmobiliario</t>
        </is>
      </c>
    </row>
    <row r="201">
      <c r="A201" s="11" t="inlineStr">
        <is>
          <t>2767-36-LE26</t>
        </is>
      </c>
      <c r="B201" s="13" t="inlineStr">
        <is>
          <t>ARRIENDO DE ESPACIO PRODUCCIÓN TECNICA Y BANQUETE</t>
        </is>
      </c>
      <c r="C201" s="11" t="n">
        <v>0</v>
      </c>
      <c r="D201" s="13" t="inlineStr">
        <is>
          <t>score 0 &lt; 30</t>
        </is>
      </c>
    </row>
    <row r="202">
      <c r="A202" s="11" t="inlineStr">
        <is>
          <t>2770-141-LR26</t>
        </is>
      </c>
      <c r="B202" s="13" t="inlineStr">
        <is>
          <t>CONTRATACIÓN DE SERVICIO DE CONSULTORÍA DE DISEÑO: PROYECTO DE ARQUITECTURA ESTRUCTURAS Y ESPECIALIDADES EDIFICIO DE SERVICIOS DE LA ILUSTRE MUNICIPALIDAD DE MAIPÚ</t>
        </is>
      </c>
      <c r="C202" s="11" t="n">
        <v>20</v>
      </c>
      <c r="D202" s="13" t="inlineStr">
        <is>
          <t>score 20 &lt; 30</t>
        </is>
      </c>
    </row>
    <row r="203">
      <c r="A203" s="11" t="inlineStr">
        <is>
          <t>2772-28-LE26</t>
        </is>
      </c>
      <c r="B203" s="13" t="inlineStr">
        <is>
          <t>“HABILITACION CENTRAL DE MONITOREO CHIGUAYANTE.”</t>
        </is>
      </c>
      <c r="C203" s="11" t="n">
        <v>0</v>
      </c>
      <c r="D203" s="13" t="inlineStr">
        <is>
          <t>score 0 &lt; 30</t>
        </is>
      </c>
    </row>
    <row r="204">
      <c r="A204" s="11" t="inlineStr">
        <is>
          <t>2785-74-LE26</t>
        </is>
      </c>
      <c r="B204" s="13" t="inlineStr">
        <is>
          <t>“CONSTRUCCIÓN CIERRE PERIMETRAL DE SEDES SOCIALES DIVERSOS SECTORES COMUNA DE SAN PEDRO DE LA PAZ”</t>
        </is>
      </c>
      <c r="C204" s="11" t="n">
        <v>8</v>
      </c>
      <c r="D204" s="13" t="inlineStr">
        <is>
          <t>solo mencion de inmueble, sin servicio inmobiliario</t>
        </is>
      </c>
    </row>
    <row r="205">
      <c r="A205" s="11" t="inlineStr">
        <is>
          <t>2793-136-LP26</t>
        </is>
      </c>
      <c r="B205" s="13" t="inlineStr">
        <is>
          <t>ARRIENDO DE BODEGAS PARA LA MUNICIPALIDAD DE HUECH</t>
        </is>
      </c>
      <c r="C205" s="11" t="n">
        <v>19</v>
      </c>
      <c r="D205" s="13" t="inlineStr">
        <is>
          <t>score 19 &lt; 30</t>
        </is>
      </c>
    </row>
    <row r="206">
      <c r="A206" s="11" t="inlineStr">
        <is>
          <t>2794-23-LP26</t>
        </is>
      </c>
      <c r="B206" s="13" t="inlineStr">
        <is>
          <t>Construccion Sede Social Bejares Los Andes</t>
        </is>
      </c>
      <c r="C206" s="11" t="n">
        <v>8</v>
      </c>
      <c r="D206" s="13" t="inlineStr">
        <is>
          <t>solo mencion de inmueble, sin servicio inmobiliario</t>
        </is>
      </c>
    </row>
    <row r="207">
      <c r="A207" s="11" t="inlineStr">
        <is>
          <t>2794-28-LR26</t>
        </is>
      </c>
      <c r="B207" s="13" t="inlineStr">
        <is>
          <t>Adquisicion de Terreno para Medio Ambiente L.A.</t>
        </is>
      </c>
      <c r="C207" s="11" t="n">
        <v>9</v>
      </c>
      <c r="D207" s="13" t="inlineStr">
        <is>
          <t>solo mencion de inmueble, sin servicio inmobiliario</t>
        </is>
      </c>
    </row>
    <row r="208">
      <c r="A208" s="11" t="inlineStr">
        <is>
          <t>2817-67-LE26</t>
        </is>
      </c>
      <c r="B208" s="13" t="inlineStr">
        <is>
          <t>REP. CUBIERTA GALPON INTERIOR FERIA EL TRAPICHE</t>
        </is>
      </c>
      <c r="C208" s="11" t="n">
        <v>7</v>
      </c>
      <c r="D208" s="13" t="inlineStr">
        <is>
          <t>solo mencion de inmueble, sin servicio inmobiliario</t>
        </is>
      </c>
    </row>
    <row r="209">
      <c r="A209" s="11" t="inlineStr">
        <is>
          <t>2827-100-LP26</t>
        </is>
      </c>
      <c r="B209" s="13" t="inlineStr">
        <is>
          <t>HABILITACION PASEO COSTANERA GRINGOS CONSTITUCION</t>
        </is>
      </c>
      <c r="C209" s="11" t="n">
        <v>0</v>
      </c>
      <c r="D209" s="13" t="inlineStr">
        <is>
          <t>score 0 &lt; 30</t>
        </is>
      </c>
    </row>
    <row r="210">
      <c r="A210" s="11" t="inlineStr">
        <is>
          <t>2832-35-L126</t>
        </is>
      </c>
      <c r="B210" s="13" t="inlineStr">
        <is>
          <t>Ctto. Suministro Servicio  de Productos de Vidriería Departamento de Salud I. Muncipalidad de Quillota</t>
        </is>
      </c>
      <c r="C210" s="11" t="n">
        <v>5</v>
      </c>
      <c r="D210" s="13" t="inlineStr">
        <is>
          <t>solo mencion de inmueble, sin servicio inmobiliario</t>
        </is>
      </c>
    </row>
    <row r="211">
      <c r="A211" s="11" t="inlineStr">
        <is>
          <t>2852-64-LE26</t>
        </is>
      </c>
      <c r="B211" s="13" t="inlineStr">
        <is>
          <t>CONVENIO DE ARRIENDO DE PLOTTERS MULTIFUNCION</t>
        </is>
      </c>
      <c r="C211" s="11" t="n">
        <v>14</v>
      </c>
      <c r="D211" s="13" t="inlineStr">
        <is>
          <t>score 14 &lt; 30</t>
        </is>
      </c>
    </row>
    <row r="212">
      <c r="A212" s="11" t="inlineStr">
        <is>
          <t>2905-51-LP26</t>
        </is>
      </c>
      <c r="B212" s="13" t="inlineStr">
        <is>
          <t>“Mejoramiento y Ampliación Sede Social y Plazoleta JJVV Población Padre Hurtado”</t>
        </is>
      </c>
      <c r="C212" s="11" t="n">
        <v>8</v>
      </c>
      <c r="D212" s="13" t="inlineStr">
        <is>
          <t>solo mencion de inmueble, sin servicio inmobiliario</t>
        </is>
      </c>
    </row>
    <row r="213">
      <c r="A213" s="11" t="inlineStr">
        <is>
          <t>2997-61-LE26</t>
        </is>
      </c>
      <c r="B213" s="13" t="inlineStr">
        <is>
          <t>Habilitación Espacio Punto Verde</t>
        </is>
      </c>
      <c r="C213" s="11" t="n">
        <v>10</v>
      </c>
      <c r="D213" s="13" t="inlineStr">
        <is>
          <t>score 10 &lt; 30</t>
        </is>
      </c>
    </row>
    <row r="214">
      <c r="A214" s="11" t="inlineStr">
        <is>
          <t>3015-56-LP26</t>
        </is>
      </c>
      <c r="B214" s="13" t="inlineStr">
        <is>
          <t>MEJ ACCESIBILIDAD Y ENTORNO SEDE SOCIAL TERRAVIDA</t>
        </is>
      </c>
      <c r="C214" s="11" t="n">
        <v>8</v>
      </c>
      <c r="D214" s="13" t="inlineStr">
        <is>
          <t>solo mencion de inmueble, sin servicio inmobiliario</t>
        </is>
      </c>
    </row>
    <row r="215">
      <c r="A215" s="11" t="inlineStr">
        <is>
          <t>3082-10-LP26</t>
        </is>
      </c>
      <c r="B215" s="13" t="inlineStr">
        <is>
          <t>Construcción Sede Agrupación Yo Vivo Panquehue</t>
        </is>
      </c>
      <c r="C215" s="11" t="n">
        <v>8</v>
      </c>
      <c r="D215" s="13" t="inlineStr">
        <is>
          <t>solo mencion de inmueble, sin servicio inmobiliario</t>
        </is>
      </c>
    </row>
    <row r="216">
      <c r="A216" s="11" t="inlineStr">
        <is>
          <t>3085-75-LE26</t>
        </is>
      </c>
      <c r="B216" s="13" t="inlineStr">
        <is>
          <t>SERVICIO CAMBIO DE VENTANALES Y FIJOS REGULARES TERMOPANEL EDIFICIO CENTRAL DEPTO. DE BIENESTAR SOCIAL IIA. ZONA NAVAL</t>
        </is>
      </c>
      <c r="C216" s="11" t="n">
        <v>14</v>
      </c>
      <c r="D216" s="13" t="inlineStr">
        <is>
          <t>score 14 &lt; 30</t>
        </is>
      </c>
    </row>
    <row r="217">
      <c r="A217" s="11" t="inlineStr">
        <is>
          <t>3085-76-L126</t>
        </is>
      </c>
      <c r="B217" s="13" t="inlineStr">
        <is>
          <t>PROVISIÓN E INSTALACIÓN DE VENTANAS TERMOPANEL A VIVIENDAS FISCALES</t>
        </is>
      </c>
      <c r="C217" s="11" t="n">
        <v>0</v>
      </c>
      <c r="D217" s="13" t="inlineStr">
        <is>
          <t>score 0 &lt; 30</t>
        </is>
      </c>
    </row>
    <row r="218">
      <c r="A218" s="11" t="inlineStr">
        <is>
          <t>3095-12-L126</t>
        </is>
      </c>
      <c r="B218" s="13" t="inlineStr">
        <is>
          <t>REPARACIÓN INTEGRAL DE VENTANAS.</t>
        </is>
      </c>
      <c r="C218" s="11" t="n">
        <v>0</v>
      </c>
      <c r="D218" s="13" t="inlineStr">
        <is>
          <t>score 0 &lt; 30</t>
        </is>
      </c>
    </row>
    <row r="219">
      <c r="A219" s="11" t="inlineStr">
        <is>
          <t>3116-3-LE26</t>
        </is>
      </c>
      <c r="B219" s="13" t="inlineStr">
        <is>
          <t>REPARACION DE FACHADA NORTE EDIFICIO SIMULADORES</t>
        </is>
      </c>
      <c r="C219" s="11" t="n">
        <v>8</v>
      </c>
      <c r="D219" s="13" t="inlineStr">
        <is>
          <t>solo mencion de inmueble, sin servicio inmobiliario</t>
        </is>
      </c>
    </row>
    <row r="220">
      <c r="A220" s="11" t="inlineStr">
        <is>
          <t>3117-95-LE26</t>
        </is>
      </c>
      <c r="B220" s="13" t="inlineStr">
        <is>
          <t>PRODUCTOS QUÍMICOS Y ASISTENCIA EN TERRENO</t>
        </is>
      </c>
      <c r="C220" s="11" t="n">
        <v>9</v>
      </c>
      <c r="D220" s="13" t="inlineStr">
        <is>
          <t>solo mencion de inmueble, sin servicio inmobiliario</t>
        </is>
      </c>
    </row>
    <row r="221">
      <c r="A221" s="11" t="inlineStr">
        <is>
          <t>3117-98-LE26</t>
        </is>
      </c>
      <c r="B221" s="13" t="inlineStr">
        <is>
          <t>OFICINA Y BODEGA MODULAR</t>
        </is>
      </c>
      <c r="C221" s="11" t="n">
        <v>10</v>
      </c>
      <c r="D221" s="13" t="inlineStr">
        <is>
          <t>solo mencion de inmueble, sin servicio inmobiliario</t>
        </is>
      </c>
    </row>
    <row r="222">
      <c r="A222" s="11" t="inlineStr">
        <is>
          <t>3129-5-LE26</t>
        </is>
      </c>
      <c r="B222" s="13" t="inlineStr">
        <is>
          <t>SERVICIO DE PINTADO EN FACHADA EDIFICIO D.INT.A</t>
        </is>
      </c>
      <c r="C222" s="11" t="n">
        <v>8</v>
      </c>
      <c r="D222" s="13" t="inlineStr">
        <is>
          <t>solo mencion de inmueble, sin servicio inmobiliario</t>
        </is>
      </c>
    </row>
    <row r="223">
      <c r="A223" s="11" t="inlineStr">
        <is>
          <t>3143-46-LE26</t>
        </is>
      </c>
      <c r="B223" s="13" t="inlineStr">
        <is>
          <t>AMPLIACION UCAM LAGORANCO Sede Unión Comunal Adulto Mayor</t>
        </is>
      </c>
      <c r="C223" s="11" t="n">
        <v>8</v>
      </c>
      <c r="D223" s="13" t="inlineStr">
        <is>
          <t>solo mencion de inmueble, sin servicio inmobiliario</t>
        </is>
      </c>
    </row>
    <row r="224">
      <c r="A224" s="11" t="inlineStr">
        <is>
          <t>3172-73-LE26</t>
        </is>
      </c>
      <c r="B224" s="13" t="inlineStr">
        <is>
          <t>ESTUDIO DE TERRENO ESFOCAR TEMUCO</t>
        </is>
      </c>
      <c r="C224" s="11" t="n">
        <v>9</v>
      </c>
      <c r="D224" s="13" t="inlineStr">
        <is>
          <t>solo mencion de inmueble, sin servicio inmobiliario</t>
        </is>
      </c>
    </row>
    <row r="225">
      <c r="A225" s="11" t="inlineStr">
        <is>
          <t>3210-12-L126</t>
        </is>
      </c>
      <c r="B225" s="13" t="inlineStr">
        <is>
          <t>SERVICIO DE MANTENCIÓN DE ESTANQUES DE AGUA DE RESERVA Y SISTEMAS ASOCIADOS DEPARTAMENTO DE SALUD SAN RAFAEL</t>
        </is>
      </c>
      <c r="C225" s="11" t="n">
        <v>5</v>
      </c>
      <c r="D225" s="13" t="inlineStr">
        <is>
          <t>solo mencion de inmueble, sin servicio inmobiliario</t>
        </is>
      </c>
    </row>
    <row r="226">
      <c r="A226" s="11" t="inlineStr">
        <is>
          <t>3211-11-LP26</t>
        </is>
      </c>
      <c r="B226" s="13" t="inlineStr">
        <is>
          <t>CONSTRUCCCIÓN SEDE SOCIAL SAN JOSÉ Y JUEGOS INFANT</t>
        </is>
      </c>
      <c r="C226" s="11" t="n">
        <v>8</v>
      </c>
      <c r="D226" s="13" t="inlineStr">
        <is>
          <t>solo mencion de inmueble, sin servicio inmobiliario</t>
        </is>
      </c>
    </row>
    <row r="227">
      <c r="A227" s="11" t="inlineStr">
        <is>
          <t>3246-20-L126</t>
        </is>
      </c>
      <c r="B227" s="13" t="inlineStr">
        <is>
          <t>GBA INT (001-002-002) 92 GMC SERV. RESTAURACIÓN PUERTAS INMUEBLE FACH AFTA.</t>
        </is>
      </c>
      <c r="C227" s="11" t="n">
        <v>14</v>
      </c>
      <c r="D227" s="13" t="inlineStr">
        <is>
          <t>solo mencion de inmueble, sin servicio inmobiliario</t>
        </is>
      </c>
    </row>
    <row r="228">
      <c r="A228" s="11" t="inlineStr">
        <is>
          <t>3263-2-LE26</t>
        </is>
      </c>
      <c r="B228" s="13" t="inlineStr">
        <is>
          <t>ARRIENDO DE EQUIPOS PANORÁMICO Y REVELADORES</t>
        </is>
      </c>
      <c r="C228" s="11" t="n">
        <v>0</v>
      </c>
      <c r="D228" s="13" t="inlineStr">
        <is>
          <t>score 0 &lt; 30</t>
        </is>
      </c>
    </row>
    <row r="229">
      <c r="A229" s="11" t="inlineStr">
        <is>
          <t>3333-51-LP26</t>
        </is>
      </c>
      <c r="B229" s="13" t="inlineStr">
        <is>
          <t>ARRIENDO DE MAQUINARA PESADA PARA LA COMUNA DE OLMÚE</t>
        </is>
      </c>
      <c r="C229" s="11" t="n">
        <v>0</v>
      </c>
      <c r="D229" s="13" t="inlineStr">
        <is>
          <t>score 0 &lt; 30</t>
        </is>
      </c>
    </row>
    <row r="230">
      <c r="A230" s="11" t="inlineStr">
        <is>
          <t>3336-22-LP26</t>
        </is>
      </c>
      <c r="B230" s="13" t="inlineStr">
        <is>
          <t>REPOSICIÓN SEDE SOCIAL PUERTO NUEVO LA UNIÓN</t>
        </is>
      </c>
      <c r="C230" s="11" t="n">
        <v>14</v>
      </c>
      <c r="D230" s="13" t="inlineStr">
        <is>
          <t>score 14 &lt; 30</t>
        </is>
      </c>
    </row>
    <row r="231">
      <c r="A231" s="11" t="inlineStr">
        <is>
          <t>3348-9-LE26</t>
        </is>
      </c>
      <c r="B231" s="13" t="inlineStr">
        <is>
          <t>Servicio de Arriendo de Tótem Gestor de Filas</t>
        </is>
      </c>
      <c r="C231" s="11" t="n">
        <v>0</v>
      </c>
      <c r="D231" s="13" t="inlineStr">
        <is>
          <t>score 0 &lt; 30</t>
        </is>
      </c>
    </row>
    <row r="232">
      <c r="A232" s="11" t="inlineStr">
        <is>
          <t>3378-62-LP26</t>
        </is>
      </c>
      <c r="B232" s="13" t="inlineStr">
        <is>
          <t>LICITACIÓN PÚBLICA PARA USO DE ESPACIO FÍSICO DESTINADO PARA 13 MAQUINAS EXPENDEDORAS Y BODEGA EN EL HMS</t>
        </is>
      </c>
      <c r="C232" s="11" t="n">
        <v>7</v>
      </c>
      <c r="D232" s="13" t="inlineStr">
        <is>
          <t>solo mencion de inmueble, sin servicio inmobiliario</t>
        </is>
      </c>
    </row>
    <row r="233">
      <c r="A233" s="11" t="inlineStr">
        <is>
          <t>3499-28-LP26</t>
        </is>
      </c>
      <c r="B233" s="13" t="inlineStr">
        <is>
          <t>MEJORAMIENTO RECINTO REGULACIÓN APR GUACARHUE</t>
        </is>
      </c>
      <c r="C233" s="11" t="n">
        <v>5</v>
      </c>
      <c r="D233" s="13" t="inlineStr">
        <is>
          <t>solo mencion de inmueble, sin servicio inmobiliario</t>
        </is>
      </c>
    </row>
    <row r="234">
      <c r="A234" s="11" t="inlineStr">
        <is>
          <t>3520-27-LP26</t>
        </is>
      </c>
      <c r="B234" s="13" t="inlineStr">
        <is>
          <t>REPOSICIÓN SEDE SOCIAL Y CAMARINES CLUB DEPORTIVO EL BOSQUE COMUNA DE DALCAHUE</t>
        </is>
      </c>
      <c r="C234" s="11" t="n">
        <v>8</v>
      </c>
      <c r="D234" s="13" t="inlineStr">
        <is>
          <t>solo mencion de inmueble, sin servicio inmobiliario</t>
        </is>
      </c>
    </row>
    <row r="235">
      <c r="A235" s="11" t="inlineStr">
        <is>
          <t>3537-65-LE26</t>
        </is>
      </c>
      <c r="B235" s="13" t="inlineStr">
        <is>
          <t>Arriendo de una autohormigonera por 320 horas</t>
        </is>
      </c>
      <c r="C235" s="11" t="n">
        <v>0</v>
      </c>
      <c r="D235" s="13" t="inlineStr">
        <is>
          <t>score 0 &lt; 30</t>
        </is>
      </c>
    </row>
    <row r="236">
      <c r="A236" s="11" t="inlineStr">
        <is>
          <t>3553-36-LE26</t>
        </is>
      </c>
      <c r="B236" s="13" t="inlineStr">
        <is>
          <t>Servicio de Courier traslado de documentos 2027</t>
        </is>
      </c>
      <c r="C236" s="11" t="n">
        <v>9</v>
      </c>
      <c r="D236" s="13" t="inlineStr">
        <is>
          <t>score 9 &lt; 30</t>
        </is>
      </c>
    </row>
    <row r="237">
      <c r="A237" s="11" t="inlineStr">
        <is>
          <t>3561-43-LE26</t>
        </is>
      </c>
      <c r="B237" s="13" t="inlineStr">
        <is>
          <t>SUMINISTRO DE SERVICIOS DE TRANSPORTE TRATAMIENTO Y ELIMINACION FINAL DE LOS RESIDUOS ESPECIALES Y PELIGROSOS PARA EL DEPARTAMENTO DE SALUD DE LA CALERA</t>
        </is>
      </c>
      <c r="C237" s="11" t="n">
        <v>5</v>
      </c>
      <c r="D237" s="13" t="inlineStr">
        <is>
          <t>solo mencion de inmueble, sin servicio inmobiliario</t>
        </is>
      </c>
    </row>
    <row r="238">
      <c r="A238" s="11" t="inlineStr">
        <is>
          <t>3587-22-LP26</t>
        </is>
      </c>
      <c r="B238" s="13" t="inlineStr">
        <is>
          <t>SERVICIO DE MOVILIZACION DEPARTAMENTO DE SALUD</t>
        </is>
      </c>
      <c r="C238" s="11" t="n">
        <v>8</v>
      </c>
      <c r="D238" s="13" t="inlineStr">
        <is>
          <t>score 8 &lt; 30</t>
        </is>
      </c>
    </row>
    <row r="239">
      <c r="A239" s="11" t="inlineStr">
        <is>
          <t>359-120-I226</t>
        </is>
      </c>
      <c r="B239" s="13" t="inlineStr">
        <is>
          <t>BAJADAS DE INFUSIÓN CON EQUIPO EN COMODATO</t>
        </is>
      </c>
      <c r="C239" s="11" t="n">
        <v>0</v>
      </c>
      <c r="D239" s="13" t="inlineStr">
        <is>
          <t>score 0 &lt; 30</t>
        </is>
      </c>
    </row>
    <row r="240">
      <c r="A240" s="11" t="inlineStr">
        <is>
          <t>359-122-LE26</t>
        </is>
      </c>
      <c r="B240" s="13" t="inlineStr">
        <is>
          <t>ADQUISICIÓN DE REACTIVOS CONTROLES Y CONSUMIBLES CON EQUIPO EN COMODATO PARA LA REALIZACIÓN DE PRESTACIONES DE INMUNOHEMATOLOGÍA PARA EL INSTITUTO NACIONAL DEL CÁNCER.</t>
        </is>
      </c>
      <c r="C240" s="11" t="n">
        <v>0</v>
      </c>
      <c r="D240" s="13" t="inlineStr">
        <is>
          <t>score 0 &lt; 30</t>
        </is>
      </c>
    </row>
    <row r="241">
      <c r="A241" s="11" t="inlineStr">
        <is>
          <t>3637-45-CO26</t>
        </is>
      </c>
      <c r="B241" s="13" t="inlineStr">
        <is>
          <t>CONST. ESCENAS CULTURALES EDIFICIO MUNICIPAL</t>
        </is>
      </c>
      <c r="C241" s="11" t="n">
        <v>8</v>
      </c>
      <c r="D241" s="13" t="inlineStr">
        <is>
          <t>solo mencion de inmueble, sin servicio inmobiliario</t>
        </is>
      </c>
    </row>
    <row r="242">
      <c r="A242" s="11" t="inlineStr">
        <is>
          <t>3671-80-LE26</t>
        </is>
      </c>
      <c r="B242" s="13" t="inlineStr">
        <is>
          <t xml:space="preserve">“HABILITACIÓN DE NUEVAS DEPENDENCIAS DE SEGURIDAD MUNICIPAL E INFORMÁTICA DE LA MUNICIPALIDAD DE CHILLÁN VIEJO” </t>
        </is>
      </c>
      <c r="C242" s="11" t="n">
        <v>14</v>
      </c>
      <c r="D242" s="13" t="inlineStr">
        <is>
          <t>score 14 &lt; 30</t>
        </is>
      </c>
    </row>
    <row r="243">
      <c r="A243" s="11" t="inlineStr">
        <is>
          <t>3678-26-LE26</t>
        </is>
      </c>
      <c r="B243" s="13" t="inlineStr">
        <is>
          <t>“CONSTRUCCIÓN SEDE SOCIAL SECTOR MEDIA LUNA LAS PALMAS COMUNA DE PETORCA”</t>
        </is>
      </c>
      <c r="C243" s="11" t="n">
        <v>8</v>
      </c>
      <c r="D243" s="13" t="inlineStr">
        <is>
          <t>solo mencion de inmueble, sin servicio inmobiliario</t>
        </is>
      </c>
    </row>
    <row r="244">
      <c r="A244" s="11" t="inlineStr">
        <is>
          <t>3693-170-LP26</t>
        </is>
      </c>
      <c r="B244" s="13" t="inlineStr">
        <is>
          <t>CONCESIÓN DE ESTACIONAMIENTOS CONTROLADOS DE LA CO</t>
        </is>
      </c>
      <c r="C244" s="11" t="n">
        <v>5</v>
      </c>
      <c r="D244" s="13" t="inlineStr">
        <is>
          <t>solo mencion de inmueble, sin servicio inmobiliario</t>
        </is>
      </c>
    </row>
    <row r="245">
      <c r="A245" s="11" t="inlineStr">
        <is>
          <t>3697-44-L126</t>
        </is>
      </c>
      <c r="B245" s="13" t="inlineStr">
        <is>
          <t>Serv. de retiro clasificacion carga y traslado de 20 m3 residuos electronicos MEDIO AMBIENTE</t>
        </is>
      </c>
      <c r="C245" s="11" t="n">
        <v>0</v>
      </c>
      <c r="D245" s="13" t="inlineStr">
        <is>
          <t>score 0 &lt; 30</t>
        </is>
      </c>
    </row>
    <row r="246">
      <c r="A246" s="11" t="inlineStr">
        <is>
          <t>3698-14-LR26</t>
        </is>
      </c>
      <c r="B246" s="13" t="inlineStr">
        <is>
          <t>MANTENCIÓN DE DEPENDENCIAS Y RECINTOS DEPORTIVOS</t>
        </is>
      </c>
      <c r="C246" s="11" t="n">
        <v>8</v>
      </c>
      <c r="D246" s="13" t="inlineStr">
        <is>
          <t>solo mencion de inmueble, sin servicio inmobiliario</t>
        </is>
      </c>
    </row>
    <row r="247">
      <c r="A247" s="11" t="inlineStr">
        <is>
          <t>3705-35-LP26</t>
        </is>
      </c>
      <c r="B247" s="13" t="inlineStr">
        <is>
          <t>PROYECTO ELÉCTRICO PARA EL EDIFICIO CONSISTORIAL DE LA MUNICIPALIDAD DE LOS SAUCES</t>
        </is>
      </c>
      <c r="C247" s="11" t="n">
        <v>8</v>
      </c>
      <c r="D247" s="13" t="inlineStr">
        <is>
          <t>solo mencion de inmueble, sin servicio inmobiliario</t>
        </is>
      </c>
    </row>
    <row r="248">
      <c r="A248" s="11" t="inlineStr">
        <is>
          <t>3710-103-LE26</t>
        </is>
      </c>
      <c r="B248" s="13" t="inlineStr">
        <is>
          <t>CONSTRUCCION DE BODEGA PARA  ACOPIO DE PELLET Y SALA  ADMINISTRATIVA CESFAM VICTORIA</t>
        </is>
      </c>
      <c r="C248" s="11" t="n">
        <v>7</v>
      </c>
      <c r="D248" s="13" t="inlineStr">
        <is>
          <t>solo mencion de inmueble, sin servicio inmobiliario</t>
        </is>
      </c>
    </row>
    <row r="249">
      <c r="A249" s="11" t="inlineStr">
        <is>
          <t>3710-104-LE26</t>
        </is>
      </c>
      <c r="B249" s="13" t="inlineStr">
        <is>
          <t>HABILITACIÓN Y MEJORAMIENTO DE ESPACIO FÍSICO EN DEPENDENCIA AIDIA – CESFAM VICTORIA</t>
        </is>
      </c>
      <c r="C249" s="11" t="n">
        <v>0</v>
      </c>
      <c r="D249" s="13" t="inlineStr">
        <is>
          <t>score 0 &lt; 30</t>
        </is>
      </c>
    </row>
    <row r="250">
      <c r="A250" s="11" t="inlineStr">
        <is>
          <t>3712-72-LP26</t>
        </is>
      </c>
      <c r="B250" s="13" t="inlineStr">
        <is>
          <t>CONVENIO LIMPIEZA Y MANTENCION DE DEPENDENCIAS</t>
        </is>
      </c>
      <c r="C250" s="11" t="n">
        <v>8</v>
      </c>
      <c r="D250" s="13" t="inlineStr">
        <is>
          <t>solo mencion de inmueble, sin servicio inmobiliario</t>
        </is>
      </c>
    </row>
    <row r="251">
      <c r="A251" s="11" t="inlineStr">
        <is>
          <t>3729-94-LE26</t>
        </is>
      </c>
      <c r="B251" s="13" t="inlineStr">
        <is>
          <t>CONSTRUCCIÓN CIERRE PERIMETRAL LONGITUDINAL NORTE LOTE RESERVA SERVIU A TERRENO LOS COPIHUES</t>
        </is>
      </c>
      <c r="C251" s="11" t="n">
        <v>9</v>
      </c>
      <c r="D251" s="13" t="inlineStr">
        <is>
          <t>solo mencion de inmueble, sin servicio inmobiliario</t>
        </is>
      </c>
    </row>
    <row r="252">
      <c r="A252" s="11" t="inlineStr">
        <is>
          <t>3738-22-LP26</t>
        </is>
      </c>
      <c r="B252" s="13" t="inlineStr">
        <is>
          <t>CONSTRUCCIÓN SEDE COMUNITARIA ADULTO MAYOR SIGLO XXI</t>
        </is>
      </c>
      <c r="C252" s="11" t="n">
        <v>8</v>
      </c>
      <c r="D252" s="13" t="inlineStr">
        <is>
          <t>solo mencion de inmueble, sin servicio inmobiliario</t>
        </is>
      </c>
    </row>
    <row r="253">
      <c r="A253" s="11" t="inlineStr">
        <is>
          <t>3738-23-LP26</t>
        </is>
      </c>
      <c r="B253" s="13" t="inlineStr">
        <is>
          <t>HABILITACIÓN PASEO PEATONAL CALLE COLO COLO HUASCO BAJO</t>
        </is>
      </c>
      <c r="C253" s="11" t="n">
        <v>0</v>
      </c>
      <c r="D253" s="13" t="inlineStr">
        <is>
          <t>score 0 &lt; 30</t>
        </is>
      </c>
    </row>
    <row r="254">
      <c r="A254" s="11" t="inlineStr">
        <is>
          <t>3752-12-LE26</t>
        </is>
      </c>
      <c r="B254" s="13" t="inlineStr">
        <is>
          <t>SERVICIO CONTROL ASISTENCIA CON EQUIS COMODATO</t>
        </is>
      </c>
      <c r="C254" s="11" t="n">
        <v>10</v>
      </c>
      <c r="D254" s="13" t="inlineStr">
        <is>
          <t>score 10 &lt; 30</t>
        </is>
      </c>
    </row>
    <row r="255">
      <c r="A255" s="11" t="inlineStr">
        <is>
          <t>3764-52-LP26</t>
        </is>
      </c>
      <c r="B255" s="13" t="inlineStr">
        <is>
          <t>CONSTRUCCIÓN SEDE CLUB DEPORTIVO UNIÓN CUNACO</t>
        </is>
      </c>
      <c r="C255" s="11" t="n">
        <v>8</v>
      </c>
      <c r="D255" s="13" t="inlineStr">
        <is>
          <t>solo mencion de inmueble, sin servicio inmobiliario</t>
        </is>
      </c>
    </row>
    <row r="256">
      <c r="A256" s="11" t="inlineStr">
        <is>
          <t>3768-19-LP26</t>
        </is>
      </c>
      <c r="B256" s="13" t="inlineStr">
        <is>
          <t>MEJORAMIENTO EDIFICIO MUNICIPAL COMUNA DE QUINCHAO</t>
        </is>
      </c>
      <c r="C256" s="11" t="n">
        <v>14</v>
      </c>
      <c r="D256" s="13" t="inlineStr">
        <is>
          <t>score 14 &lt; 30</t>
        </is>
      </c>
    </row>
    <row r="257">
      <c r="A257" s="11" t="inlineStr">
        <is>
          <t>3777-7-LE26</t>
        </is>
      </c>
      <c r="B257" s="13" t="inlineStr">
        <is>
          <t>“Adquisición del Servicio de Arriendo de Traslado</t>
        </is>
      </c>
      <c r="C257" s="11" t="n">
        <v>0</v>
      </c>
      <c r="D257" s="13" t="inlineStr">
        <is>
          <t>score 0 &lt; 30</t>
        </is>
      </c>
    </row>
    <row r="258">
      <c r="A258" s="11" t="inlineStr">
        <is>
          <t>3791-76-LP26</t>
        </is>
      </c>
      <c r="B258" s="13" t="inlineStr">
        <is>
          <t>Construcción Sede A.G. Agrícola y Ganadera de Pequeños Campesinos de La Junta</t>
        </is>
      </c>
      <c r="C258" s="11" t="n">
        <v>11</v>
      </c>
      <c r="D258" s="13" t="inlineStr">
        <is>
          <t>score 11 &lt; 30</t>
        </is>
      </c>
    </row>
    <row r="259">
      <c r="A259" s="11" t="inlineStr">
        <is>
          <t>3863-56-LP26</t>
        </is>
      </c>
      <c r="B259" s="13" t="inlineStr">
        <is>
          <t>HABILITACIÓN ESPACIOS DEPORTIVOS IPS</t>
        </is>
      </c>
      <c r="C259" s="11" t="n">
        <v>6</v>
      </c>
      <c r="D259" s="13" t="inlineStr">
        <is>
          <t>score 6 &lt; 30</t>
        </is>
      </c>
    </row>
    <row r="260">
      <c r="A260" s="11" t="inlineStr">
        <is>
          <t>3887-47-LP26</t>
        </is>
      </c>
      <c r="B260" s="13" t="inlineStr">
        <is>
          <t>Concesion Explotacion Estacionamiento Villarrica</t>
        </is>
      </c>
      <c r="C260" s="11" t="n">
        <v>5</v>
      </c>
      <c r="D260" s="13" t="inlineStr">
        <is>
          <t>solo mencion de inmueble, sin servicio inmobiliario</t>
        </is>
      </c>
    </row>
    <row r="261">
      <c r="A261" s="11" t="inlineStr">
        <is>
          <t>3890-215-E226</t>
        </is>
      </c>
      <c r="B261" s="13" t="inlineStr">
        <is>
          <t>ADQ. MATERIALES OFICINA  PROGRAMA MJH</t>
        </is>
      </c>
      <c r="C261" s="11" t="n">
        <v>10</v>
      </c>
      <c r="D261" s="13" t="inlineStr">
        <is>
          <t>solo mencion de inmueble, sin servicio inmobiliario</t>
        </is>
      </c>
    </row>
    <row r="262">
      <c r="A262" s="11" t="inlineStr">
        <is>
          <t>3908-47-LE26</t>
        </is>
      </c>
      <c r="B262" s="13" t="inlineStr">
        <is>
          <t xml:space="preserve">SEGUNDO LLAMADO “HABILITACIÓN Y SEÑALIZACIÓN PLAZOLETA RENÉ PINEDA Y MEJORAMIENTO PLAZA POBLACIÓN NUEVO VIVIR COMUNA DE RENAICO” </t>
        </is>
      </c>
      <c r="C262" s="11" t="n">
        <v>0</v>
      </c>
      <c r="D262" s="13" t="inlineStr">
        <is>
          <t>score 0 &lt; 30</t>
        </is>
      </c>
    </row>
    <row r="263">
      <c r="A263" s="11" t="inlineStr">
        <is>
          <t>3948-49-CO26</t>
        </is>
      </c>
      <c r="B263" s="13" t="inlineStr">
        <is>
          <t>SERVICIO DE ARRIENDO DE TRANSPORTE PREESCO</t>
        </is>
      </c>
      <c r="C263" s="11" t="n">
        <v>0</v>
      </c>
      <c r="D263" s="13" t="inlineStr">
        <is>
          <t>score 0 &lt; 30</t>
        </is>
      </c>
    </row>
    <row r="264">
      <c r="A264" s="11" t="inlineStr">
        <is>
          <t>3963-18-LE26</t>
        </is>
      </c>
      <c r="B264" s="13" t="inlineStr">
        <is>
          <t>MEJORAMIENTO SEDE EL REFUGIO COMUNA DE PEUMO</t>
        </is>
      </c>
      <c r="C264" s="11" t="n">
        <v>8</v>
      </c>
      <c r="D264" s="13" t="inlineStr">
        <is>
          <t>solo mencion de inmueble, sin servicio inmobiliario</t>
        </is>
      </c>
    </row>
    <row r="265">
      <c r="A265" s="11" t="inlineStr">
        <is>
          <t>3981-26-LE26</t>
        </is>
      </c>
      <c r="B265" s="13" t="inlineStr">
        <is>
          <t>HABILITACIÓN E IMPLEMENTACIÓN DE SALA DE RESGUARDO FAMILIAR MUNICIPAL SALA CUNA</t>
        </is>
      </c>
      <c r="C265" s="11" t="n">
        <v>0</v>
      </c>
      <c r="D265" s="13" t="inlineStr">
        <is>
          <t>score 0 &lt; 30</t>
        </is>
      </c>
    </row>
    <row r="266">
      <c r="A266" s="11" t="inlineStr">
        <is>
          <t>3994-29-LR26</t>
        </is>
      </c>
      <c r="B266" s="13" t="inlineStr">
        <is>
          <t>CONST. SEDE Y ESPACIO COMUNITARIO GULTRO ORIENTE</t>
        </is>
      </c>
      <c r="C266" s="11" t="n">
        <v>8</v>
      </c>
      <c r="D266" s="13" t="inlineStr">
        <is>
          <t>solo mencion de inmueble, sin servicio inmobiliario</t>
        </is>
      </c>
    </row>
    <row r="267">
      <c r="A267" s="11" t="inlineStr">
        <is>
          <t>4032-22-LP26</t>
        </is>
      </c>
      <c r="B267" s="13" t="inlineStr">
        <is>
          <t>REPOSICIÓN OFICINA DE TURISMO CAÑETE</t>
        </is>
      </c>
      <c r="C267" s="11" t="n">
        <v>10</v>
      </c>
      <c r="D267" s="13" t="inlineStr">
        <is>
          <t>solo mencion de inmueble, sin servicio inmobiliario</t>
        </is>
      </c>
    </row>
    <row r="268">
      <c r="A268" s="11" t="inlineStr">
        <is>
          <t>4160-14-LP26</t>
        </is>
      </c>
      <c r="B268" s="13" t="inlineStr">
        <is>
          <t>CONSTRUCCION SEDE SOCIAL JJVV LOS NOTROS HUALPEN</t>
        </is>
      </c>
      <c r="C268" s="11" t="n">
        <v>8</v>
      </c>
      <c r="D268" s="13" t="inlineStr">
        <is>
          <t>solo mencion de inmueble, sin servicio inmobiliario</t>
        </is>
      </c>
    </row>
    <row r="269">
      <c r="A269" s="11" t="inlineStr">
        <is>
          <t>4160-18-LP26</t>
        </is>
      </c>
      <c r="B269" s="13" t="inlineStr">
        <is>
          <t>CONSTRUCCION SEDE SOCIAL JJVV FLORESTA IV HUALPEN</t>
        </is>
      </c>
      <c r="C269" s="11" t="n">
        <v>8</v>
      </c>
      <c r="D269" s="13" t="inlineStr">
        <is>
          <t>solo mencion de inmueble, sin servicio inmobiliario</t>
        </is>
      </c>
    </row>
    <row r="270">
      <c r="A270" s="11" t="inlineStr">
        <is>
          <t>4192-55-LP26</t>
        </is>
      </c>
      <c r="B270" s="13" t="inlineStr">
        <is>
          <t>HABILITACIÓN ILUMINACIÓN ACCESO A LORETO CALDERA</t>
        </is>
      </c>
      <c r="C270" s="11" t="n">
        <v>0</v>
      </c>
      <c r="D270" s="13" t="inlineStr">
        <is>
          <t>score 0 &lt; 30</t>
        </is>
      </c>
    </row>
    <row r="271">
      <c r="A271" s="11" t="inlineStr">
        <is>
          <t>4202-46-LE26</t>
        </is>
      </c>
      <c r="B271" s="13" t="inlineStr">
        <is>
          <t>ARRIENDO Y MANTENCION EQUIPO GABINETE PSICOTÉCNICO</t>
        </is>
      </c>
      <c r="C271" s="11" t="n">
        <v>0</v>
      </c>
      <c r="D271" s="13" t="inlineStr">
        <is>
          <t>score 0 &lt; 30</t>
        </is>
      </c>
    </row>
    <row r="272">
      <c r="A272" s="11" t="inlineStr">
        <is>
          <t>4236-29-LE26</t>
        </is>
      </c>
      <c r="B272" s="13" t="inlineStr">
        <is>
          <t>ADQUISICIÓN DE AYUDAS TÉCNICAS PARA LA CASA DE LA INCLUSIÓN 2026</t>
        </is>
      </c>
      <c r="C272" s="11" t="n">
        <v>5</v>
      </c>
      <c r="D272" s="13" t="inlineStr">
        <is>
          <t>solo mencion de inmueble, sin servicio inmobiliario</t>
        </is>
      </c>
    </row>
    <row r="273">
      <c r="A273" s="11" t="inlineStr">
        <is>
          <t>425-57-LR26</t>
        </is>
      </c>
      <c r="B273" s="13" t="inlineStr">
        <is>
          <t>SERVICIO DE INSPECCIÓN TÉCNICA PARA LA HABILITACIÓN DEL CENTRO DE JUSTICIA DE TEMUCO - TRIBUNAL DE FAMILIA CIVILES 1° 2° Y 3° JUZGADO DE LETRAS Y DE FAMILIA Y JUZGADO DE LETRAS DEL TRABAJO</t>
        </is>
      </c>
      <c r="C273" s="11" t="n">
        <v>0</v>
      </c>
      <c r="D273" s="13" t="inlineStr">
        <is>
          <t>score 0 &lt; 30</t>
        </is>
      </c>
    </row>
    <row r="274">
      <c r="A274" s="11" t="inlineStr">
        <is>
          <t>425-66-LP26</t>
        </is>
      </c>
      <c r="B274" s="13" t="inlineStr">
        <is>
          <t>Servicio de Habilitación Fiscalía Judicial</t>
        </is>
      </c>
      <c r="C274" s="11" t="n">
        <v>0</v>
      </c>
      <c r="D274" s="13" t="inlineStr">
        <is>
          <t>score 0 &lt; 30</t>
        </is>
      </c>
    </row>
    <row r="275">
      <c r="A275" s="11" t="inlineStr">
        <is>
          <t>425-72-LP26</t>
        </is>
      </c>
      <c r="B275" s="13" t="inlineStr">
        <is>
          <t>Arriendo de Kioscos Autoconsulta y Aplicativo CJS</t>
        </is>
      </c>
      <c r="C275" s="11" t="n">
        <v>0</v>
      </c>
      <c r="D275" s="13" t="inlineStr">
        <is>
          <t>score 0 &lt; 30</t>
        </is>
      </c>
    </row>
    <row r="276">
      <c r="A276" s="11" t="inlineStr">
        <is>
          <t>4290-68-LE26</t>
        </is>
      </c>
      <c r="B276" s="13" t="inlineStr">
        <is>
          <t>Arriendo centro de eventos - Dia del Funcionario</t>
        </is>
      </c>
      <c r="C276" s="11" t="n">
        <v>0</v>
      </c>
      <c r="D276" s="13" t="inlineStr">
        <is>
          <t>score 0 &lt; 30</t>
        </is>
      </c>
    </row>
    <row r="277">
      <c r="A277" s="11" t="inlineStr">
        <is>
          <t>4295-87-LE26</t>
        </is>
      </c>
      <c r="B277" s="13" t="inlineStr">
        <is>
          <t>Reposición Sede Comunitaria Francisco de Aguirre-Comuna La Serena</t>
        </is>
      </c>
      <c r="C277" s="11" t="n">
        <v>8</v>
      </c>
      <c r="D277" s="13" t="inlineStr">
        <is>
          <t>solo mencion de inmueble, sin servicio inmobiliario</t>
        </is>
      </c>
    </row>
    <row r="278">
      <c r="A278" s="11" t="inlineStr">
        <is>
          <t>4309-254-LP26</t>
        </is>
      </c>
      <c r="B278" s="13" t="inlineStr">
        <is>
          <t>CONVENIO SUMINISTRO KIT DE DETECCIÓN MOLECULAR MÚLTIPLE MODALIDAD POINT OF CARE PARA PANEL RESPIRATORIO CON EQUIPAMIENTO EN COMODATO</t>
        </is>
      </c>
      <c r="C278" s="11" t="n">
        <v>0</v>
      </c>
      <c r="D278" s="13" t="inlineStr">
        <is>
          <t>score 0 &lt; 30</t>
        </is>
      </c>
    </row>
    <row r="279">
      <c r="A279" s="11" t="inlineStr">
        <is>
          <t>439-28-LE26</t>
        </is>
      </c>
      <c r="B279" s="13" t="inlineStr">
        <is>
          <t>HABILITACIÓN LABORATORIO DE COMPUTACION SANTA ROSA</t>
        </is>
      </c>
      <c r="C279" s="11" t="n">
        <v>0</v>
      </c>
      <c r="D279" s="13" t="inlineStr">
        <is>
          <t>score 0 &lt; 30</t>
        </is>
      </c>
    </row>
    <row r="280">
      <c r="A280" s="11" t="inlineStr">
        <is>
          <t>4429-104-LR26</t>
        </is>
      </c>
      <c r="B280" s="13" t="inlineStr">
        <is>
          <t>REACTIVOS INCLUYENDO ANALIZADORES EN COMODATO</t>
        </is>
      </c>
      <c r="C280" s="11" t="n">
        <v>0</v>
      </c>
      <c r="D280" s="13" t="inlineStr">
        <is>
          <t>score 0 &lt; 30</t>
        </is>
      </c>
    </row>
    <row r="281">
      <c r="A281" s="11" t="inlineStr">
        <is>
          <t>4447-20-LP26</t>
        </is>
      </c>
      <c r="B281" s="13" t="inlineStr">
        <is>
          <t xml:space="preserve">HABILITACIÓN DE SISTEMA DE ACREDITACIÓN Y CONTROL </t>
        </is>
      </c>
      <c r="C281" s="11" t="n">
        <v>10</v>
      </c>
      <c r="D281" s="13" t="inlineStr">
        <is>
          <t>score 10 &lt; 30</t>
        </is>
      </c>
    </row>
    <row r="282">
      <c r="A282" s="11" t="inlineStr">
        <is>
          <t>4454-32-LE26</t>
        </is>
      </c>
      <c r="B282" s="13" t="inlineStr">
        <is>
          <t>CONTRATO DE ARRIENDO EQUIPOS PSICOTÉCNICOS- DEPTO.</t>
        </is>
      </c>
      <c r="C282" s="11" t="n">
        <v>0</v>
      </c>
      <c r="D282" s="13" t="inlineStr">
        <is>
          <t>score 0 &lt; 30</t>
        </is>
      </c>
    </row>
    <row r="283">
      <c r="A283" s="11" t="inlineStr">
        <is>
          <t>4455-53-LE26</t>
        </is>
      </c>
      <c r="B283" s="13" t="inlineStr">
        <is>
          <t>SERVICIO ARRIENDO DE SOFWARE DE ASISTENCIA CLOUD</t>
        </is>
      </c>
      <c r="C283" s="11" t="n">
        <v>14</v>
      </c>
      <c r="D283" s="13" t="inlineStr">
        <is>
          <t>score 14 &lt; 30</t>
        </is>
      </c>
    </row>
    <row r="284">
      <c r="A284" s="11" t="inlineStr">
        <is>
          <t>4464-45-LE26</t>
        </is>
      </c>
      <c r="B284" s="13" t="inlineStr">
        <is>
          <t>CONTRATO POR EL SUMINISTRO DE GASES MEDICINALES CON CILINDROS EN ARRIENDO PARA EL HOSPITAL DE CURICÓ</t>
        </is>
      </c>
      <c r="C284" s="11" t="n">
        <v>0</v>
      </c>
      <c r="D284" s="13" t="inlineStr">
        <is>
          <t>score 0 &lt; 30</t>
        </is>
      </c>
    </row>
    <row r="285">
      <c r="A285" s="11" t="inlineStr">
        <is>
          <t>4483-27-LP26</t>
        </is>
      </c>
      <c r="B285" s="13" t="inlineStr">
        <is>
          <t>CONSTRUCCION SEDE SAN LORENZO SECTOR LA CALERA TIERRA AMARILLA</t>
        </is>
      </c>
      <c r="C285" s="11" t="n">
        <v>8</v>
      </c>
      <c r="D285" s="13" t="inlineStr">
        <is>
          <t>solo mencion de inmueble, sin servicio inmobiliario</t>
        </is>
      </c>
    </row>
    <row r="286">
      <c r="A286" s="11" t="inlineStr">
        <is>
          <t>45-52-LE26</t>
        </is>
      </c>
      <c r="B286" s="13" t="inlineStr">
        <is>
          <t>SUMINISTRO DE MAQUINAS Y EQUIPOS PARA LAS DEPENDENCIAS DE SENCE EN DISTINTAS REGIONES DEL PAÍS</t>
        </is>
      </c>
      <c r="C286" s="11" t="n">
        <v>8</v>
      </c>
      <c r="D286" s="13" t="inlineStr">
        <is>
          <t>solo mencion de inmueble, sin servicio inmobiliario</t>
        </is>
      </c>
    </row>
    <row r="287">
      <c r="A287" s="11" t="inlineStr">
        <is>
          <t>4627-6-L126</t>
        </is>
      </c>
      <c r="B287" s="13" t="inlineStr">
        <is>
          <t>SERVICIO SUMINISTRO SISTEMA DE ALARMA Y MONITOREO PARA OFICINAS: DIRECCIÓN REGIONAL DEL TRABAJO DE MAGALLANES, CENTRO DE CONCILIACIÓN Y MEDIACIÓN, INSPECCIÓN DEL TRABAJO DE ÚLTIMA ESPERANZA E INSPECCIÓN PROVINCIAL DEL TRABAJO DE TIERRA DEL FUEGO</t>
        </is>
      </c>
      <c r="C287" s="11" t="n">
        <v>10</v>
      </c>
      <c r="D287" s="13" t="inlineStr">
        <is>
          <t>solo mencion de inmueble, sin servicio inmobiliario</t>
        </is>
      </c>
    </row>
    <row r="288">
      <c r="A288" s="11" t="inlineStr">
        <is>
          <t>4713-1-L126</t>
        </is>
      </c>
      <c r="B288" s="13" t="inlineStr">
        <is>
          <t>SERVICIO INTEGRAL DE MANTENIMIENTO, ARRIENDO DE EQUIPOS Y ABASTECIMIENTO DE AROMATIZACIÓN Y BACTERIOSTÁTICOS PARA LA DIRECCIÓN REGIONAL DE ATACAMA</t>
        </is>
      </c>
      <c r="C288" s="11" t="n">
        <v>16</v>
      </c>
      <c r="D288" s="13" t="inlineStr">
        <is>
          <t>score 16 &lt; 30</t>
        </is>
      </c>
    </row>
    <row r="289">
      <c r="A289" s="11" t="inlineStr">
        <is>
          <t>4738-13-LP26</t>
        </is>
      </c>
      <c r="B289" s="13" t="inlineStr">
        <is>
          <t>COMODATO DE EQUIPOS PARA LABORATORIO CLINICO Y SUMINISTRO DE SUS REACTIVOS POR 24 MESES</t>
        </is>
      </c>
      <c r="C289" s="11" t="n">
        <v>0</v>
      </c>
      <c r="D289" s="13" t="inlineStr">
        <is>
          <t>score 0 &lt; 30</t>
        </is>
      </c>
    </row>
    <row r="290">
      <c r="A290" s="11" t="inlineStr">
        <is>
          <t>4768-52-LP26</t>
        </is>
      </c>
      <c r="B290" s="13" t="inlineStr">
        <is>
          <t>ADQUISICION TERRENO CESFAM LA ESTRELLA</t>
        </is>
      </c>
      <c r="C290" s="11" t="n">
        <v>9</v>
      </c>
      <c r="D290" s="13" t="inlineStr">
        <is>
          <t>solo mencion de inmueble, sin servicio inmobiliario</t>
        </is>
      </c>
    </row>
    <row r="291">
      <c r="A291" s="11" t="inlineStr">
        <is>
          <t>4776-55-LE26</t>
        </is>
      </c>
      <c r="B291" s="13" t="inlineStr">
        <is>
          <t>SERVICIO DE TRASLADO EN RADIOTAXIS PARA PACIENTES AMBULATORIOS Y FUNCIONARIOS PARA CENTRO DE REHABILITACIÓN CAPREDENA LA FLORIDA</t>
        </is>
      </c>
      <c r="C291" s="11" t="n">
        <v>0</v>
      </c>
      <c r="D291" s="13" t="inlineStr">
        <is>
          <t>score 0 &lt; 30</t>
        </is>
      </c>
    </row>
    <row r="292">
      <c r="A292" s="11" t="inlineStr">
        <is>
          <t>4890-28-LE26</t>
        </is>
      </c>
      <c r="B292" s="13" t="inlineStr">
        <is>
          <t>Obras de Habilitación</t>
        </is>
      </c>
      <c r="C292" s="11" t="n">
        <v>13</v>
      </c>
      <c r="D292" s="13" t="inlineStr">
        <is>
          <t>score 13 &lt; 30</t>
        </is>
      </c>
    </row>
    <row r="293">
      <c r="A293" s="11" t="inlineStr">
        <is>
          <t>4968-50-LP26</t>
        </is>
      </c>
      <c r="B293" s="13" t="inlineStr">
        <is>
          <t>REHABILITACIÓN PSICOSOCIAL TIPO I Y II</t>
        </is>
      </c>
      <c r="C293" s="11" t="n">
        <v>0</v>
      </c>
      <c r="D293" s="13" t="inlineStr">
        <is>
          <t>score 0 &lt; 30</t>
        </is>
      </c>
    </row>
    <row r="294">
      <c r="A294" s="11" t="inlineStr">
        <is>
          <t>5055-43-LP26</t>
        </is>
      </c>
      <c r="B294" s="13" t="inlineStr">
        <is>
          <t>ADQUISICION DE PROTESIS VARIAS PARA EQUIPO DE CADERA CON INSTRUMENTAL EN COMODATO</t>
        </is>
      </c>
      <c r="C294" s="11" t="n">
        <v>0</v>
      </c>
      <c r="D294" s="13" t="inlineStr">
        <is>
          <t>score 0 &lt; 30</t>
        </is>
      </c>
    </row>
    <row r="295">
      <c r="A295" s="11" t="inlineStr">
        <is>
          <t>5055-44-LP26</t>
        </is>
      </c>
      <c r="B295" s="13" t="inlineStr">
        <is>
          <t>ADQUISICION DE PRODUCTOS VARIOS PARA EQUIPO DE TOBILLO Y PIE CON INSTRUMENTAL EN COMODATO</t>
        </is>
      </c>
      <c r="C295" s="11" t="n">
        <v>0</v>
      </c>
      <c r="D295" s="13" t="inlineStr">
        <is>
          <t>score 0 &lt; 30</t>
        </is>
      </c>
    </row>
    <row r="296">
      <c r="A296" s="11" t="inlineStr">
        <is>
          <t>5061-38-L126</t>
        </is>
      </c>
      <c r="B296" s="13" t="inlineStr">
        <is>
          <t>SP1245 SERVICIO DE HABILITACIÓN SALA REAS DEL CESFAM AMANECER, SEGÚN ESPECIFICACIONES TÉCNICAS ADJUNTAS</t>
        </is>
      </c>
      <c r="C296" s="11" t="n">
        <v>0</v>
      </c>
      <c r="D296" s="13" t="inlineStr">
        <is>
          <t>score 0 &lt; 30</t>
        </is>
      </c>
    </row>
    <row r="297">
      <c r="A297" s="11" t="inlineStr">
        <is>
          <t>5153-27-LP26</t>
        </is>
      </c>
      <c r="B297" s="13" t="inlineStr">
        <is>
          <t>Servicios de Día Cama UCI Pediátrica con traslado</t>
        </is>
      </c>
      <c r="C297" s="11" t="n">
        <v>0</v>
      </c>
      <c r="D297" s="13" t="inlineStr">
        <is>
          <t>score 0 &lt; 30</t>
        </is>
      </c>
    </row>
    <row r="298">
      <c r="A298" s="11" t="inlineStr">
        <is>
          <t>5209-7-LR26</t>
        </is>
      </c>
      <c r="B298" s="13" t="inlineStr">
        <is>
          <t>SUMINISTRO DE PROPOFOL 1% Y 2% CON EQUIPO COMODATO</t>
        </is>
      </c>
      <c r="C298" s="11" t="n">
        <v>0</v>
      </c>
      <c r="D298" s="13" t="inlineStr">
        <is>
          <t>score 0 &lt; 30</t>
        </is>
      </c>
    </row>
    <row r="299">
      <c r="A299" s="11" t="inlineStr">
        <is>
          <t>538598-41-LE26</t>
        </is>
      </c>
      <c r="B299" s="13" t="inlineStr">
        <is>
          <t>Servicio LME - arriendo de lectores huella digital</t>
        </is>
      </c>
      <c r="C299" s="11" t="n">
        <v>0</v>
      </c>
      <c r="D299" s="13" t="inlineStr">
        <is>
          <t>score 0 &lt; 30</t>
        </is>
      </c>
    </row>
    <row r="300">
      <c r="A300" s="11" t="inlineStr">
        <is>
          <t>5413-79-LR26</t>
        </is>
      </c>
      <c r="B300" s="13" t="inlineStr">
        <is>
          <t>EDIFICIO MÓDULO EDUCACIONAL CARRERA DE AGRONOMÍA</t>
        </is>
      </c>
      <c r="C300" s="11" t="n">
        <v>8</v>
      </c>
      <c r="D300" s="13" t="inlineStr">
        <is>
          <t>solo mencion de inmueble, sin servicio inmobiliario</t>
        </is>
      </c>
    </row>
    <row r="301">
      <c r="A301" s="11" t="inlineStr">
        <is>
          <t>5416-44-LE26</t>
        </is>
      </c>
      <c r="B301" s="13" t="inlineStr">
        <is>
          <t>Arriendo complejo turístico para paseo de Navidad</t>
        </is>
      </c>
      <c r="C301" s="11" t="n">
        <v>14</v>
      </c>
      <c r="D301" s="13" t="inlineStr">
        <is>
          <t>score 14 &lt; 30</t>
        </is>
      </c>
    </row>
    <row r="302">
      <c r="A302" s="11" t="inlineStr">
        <is>
          <t>5482-94-LP26</t>
        </is>
      </c>
      <c r="B302" s="13" t="inlineStr">
        <is>
          <t>SERVICIO DE ARRIENDO MANTENCIÓN Y SOPORTE DE PLATAFORMA DOM</t>
        </is>
      </c>
      <c r="C302" s="11" t="n">
        <v>0</v>
      </c>
      <c r="D302" s="13" t="inlineStr">
        <is>
          <t>score 0 &lt; 30</t>
        </is>
      </c>
    </row>
    <row r="303">
      <c r="A303" s="11" t="inlineStr">
        <is>
          <t>5510-7-LR26</t>
        </is>
      </c>
      <c r="B303" s="13" t="inlineStr">
        <is>
          <t>HABILITACIÓN CAFETERÍA ZÓCALO TORRE JEA - FCFM</t>
        </is>
      </c>
      <c r="C303" s="11" t="n">
        <v>0</v>
      </c>
      <c r="D303" s="13" t="inlineStr">
        <is>
          <t>score 0 &lt; 30</t>
        </is>
      </c>
    </row>
    <row r="304">
      <c r="A304" s="11" t="inlineStr">
        <is>
          <t>5520-78-LR26</t>
        </is>
      </c>
      <c r="B304" s="13" t="inlineStr">
        <is>
          <t>Servicio de Gestión para Instalación de Faena en Recintos Mineros y Otros</t>
        </is>
      </c>
      <c r="C304" s="11" t="n">
        <v>5</v>
      </c>
      <c r="D304" s="13" t="inlineStr">
        <is>
          <t>solo mencion de inmueble, sin servicio inmobiliario</t>
        </is>
      </c>
    </row>
    <row r="305">
      <c r="A305" s="11" t="inlineStr">
        <is>
          <t>5520-81-CO26</t>
        </is>
      </c>
      <c r="B305" s="13" t="inlineStr">
        <is>
          <t>Servicio de Mantención y Reparación para Sede Coquimbo</t>
        </is>
      </c>
      <c r="C305" s="11" t="n">
        <v>8</v>
      </c>
      <c r="D305" s="13" t="inlineStr">
        <is>
          <t>solo mencion de inmueble, sin servicio inmobiliario</t>
        </is>
      </c>
    </row>
    <row r="306">
      <c r="A306" s="11" t="inlineStr">
        <is>
          <t>5520-82-LE26</t>
        </is>
      </c>
      <c r="B306" s="13" t="inlineStr">
        <is>
          <t>SERVICIO MANTENCIÓN Y REPARACIÓN SEDE CONCON</t>
        </is>
      </c>
      <c r="C306" s="11" t="n">
        <v>8</v>
      </c>
      <c r="D306" s="13" t="inlineStr">
        <is>
          <t>solo mencion de inmueble, sin servicio inmobiliario</t>
        </is>
      </c>
    </row>
    <row r="307">
      <c r="A307" s="11" t="inlineStr">
        <is>
          <t>5590-2-LE26</t>
        </is>
      </c>
      <c r="B307" s="13" t="inlineStr">
        <is>
          <t>Habilitación de Laboratorio FIRC</t>
        </is>
      </c>
      <c r="C307" s="11" t="n">
        <v>0</v>
      </c>
      <c r="D307" s="13" t="inlineStr">
        <is>
          <t>score 0 &lt; 30</t>
        </is>
      </c>
    </row>
    <row r="308">
      <c r="A308" s="11" t="inlineStr">
        <is>
          <t>5596-6-LE26</t>
        </is>
      </c>
      <c r="B308" s="13" t="inlineStr">
        <is>
          <t>INVENTARIO PATRIMONIO CULTURAL INMUEBLE AYP</t>
        </is>
      </c>
      <c r="C308" s="11" t="n">
        <v>26</v>
      </c>
      <c r="D308" s="13" t="inlineStr">
        <is>
          <t>score 26 &lt; 30</t>
        </is>
      </c>
    </row>
    <row r="309">
      <c r="A309" s="11" t="inlineStr">
        <is>
          <t>564953-76-LR26</t>
        </is>
      </c>
      <c r="B309" s="13" t="inlineStr">
        <is>
          <t>Habilitación de Farmacia Comunal Apoquindo</t>
        </is>
      </c>
      <c r="C309" s="11" t="n">
        <v>0</v>
      </c>
      <c r="D309" s="13" t="inlineStr">
        <is>
          <t>score 0 &lt; 30</t>
        </is>
      </c>
    </row>
    <row r="310">
      <c r="A310" s="11" t="inlineStr">
        <is>
          <t>564953-81-LE26</t>
        </is>
      </c>
      <c r="B310" s="13" t="inlineStr">
        <is>
          <t>HABILITACIÓN DE OFICINAS CESFAM DR ANIBAL ARIZTÍA</t>
        </is>
      </c>
      <c r="C310" s="11" t="n">
        <v>22</v>
      </c>
      <c r="D310" s="13" t="inlineStr">
        <is>
          <t>score 22 &lt; 30</t>
        </is>
      </c>
    </row>
    <row r="311">
      <c r="A311" s="11" t="inlineStr">
        <is>
          <t>5702-17-LE26</t>
        </is>
      </c>
      <c r="B311" s="13" t="inlineStr">
        <is>
          <t>ESTUDIO DE MECANICA DE SUELOS EN TERRENO FISCAL.</t>
        </is>
      </c>
      <c r="C311" s="11" t="n">
        <v>9</v>
      </c>
      <c r="D311" s="13" t="inlineStr">
        <is>
          <t>solo mencion de inmueble, sin servicio inmobiliario</t>
        </is>
      </c>
    </row>
    <row r="312">
      <c r="A312" s="11" t="inlineStr">
        <is>
          <t>5752-22-LP26</t>
        </is>
      </c>
      <c r="B312" s="13" t="inlineStr">
        <is>
          <t>CONTRUCCIÓN SEDE COMUNITARIA LOS CONSTRUCTORES</t>
        </is>
      </c>
      <c r="C312" s="11" t="n">
        <v>8</v>
      </c>
      <c r="D312" s="13" t="inlineStr">
        <is>
          <t>solo mencion de inmueble, sin servicio inmobiliario</t>
        </is>
      </c>
    </row>
    <row r="313">
      <c r="A313" s="11" t="inlineStr">
        <is>
          <t>582-10-LE26</t>
        </is>
      </c>
      <c r="B313" s="13" t="inlineStr">
        <is>
          <t>MEJORAMIENTO DE LAS DEPENDENCIAS DPP CHILOÉ</t>
        </is>
      </c>
      <c r="C313" s="11" t="n">
        <v>8</v>
      </c>
      <c r="D313" s="13" t="inlineStr">
        <is>
          <t>solo mencion de inmueble, sin servicio inmobiliario</t>
        </is>
      </c>
    </row>
    <row r="314">
      <c r="A314" s="11" t="inlineStr">
        <is>
          <t>5839-6-LR26</t>
        </is>
      </c>
      <c r="B314" s="13" t="inlineStr">
        <is>
          <t>Suministro Test reportado y Eq. comodato B. Sangre</t>
        </is>
      </c>
      <c r="C314" s="11" t="n">
        <v>0</v>
      </c>
      <c r="D314" s="13" t="inlineStr">
        <is>
          <t>score 0 &lt; 30</t>
        </is>
      </c>
    </row>
    <row r="315">
      <c r="A315" s="11" t="inlineStr">
        <is>
          <t>5877-38-L126</t>
        </is>
      </c>
      <c r="B315" s="13" t="inlineStr">
        <is>
          <t>SEREMI DE LOS RÍOS REQUIERE LA ADQUISICIÓN DE ARTÍCULOS Y HERRAMIENTAS PARA LA HABILITACIÓN DE LA SALA DE MAESTRANZA DEL EDIFICIO CECREA VALDIVIA.</t>
        </is>
      </c>
      <c r="C315" s="11" t="n">
        <v>14</v>
      </c>
      <c r="D315" s="13" t="inlineStr">
        <is>
          <t>score 14 &lt; 30</t>
        </is>
      </c>
    </row>
    <row r="316">
      <c r="A316" s="11" t="inlineStr">
        <is>
          <t>5908-33-LR26</t>
        </is>
      </c>
      <c r="B316" s="13" t="inlineStr">
        <is>
          <t>REPOSICIÓN SEDE SOCIAL N°20 Y COMEDOR COMUNITARIO LOCALIDAD DE CHUSMIZA II CÓDIGO BIP 40025921-0</t>
        </is>
      </c>
      <c r="C316" s="11" t="n">
        <v>8</v>
      </c>
      <c r="D316" s="13" t="inlineStr">
        <is>
          <t>solo mencion de inmueble, sin servicio inmobiliario</t>
        </is>
      </c>
    </row>
    <row r="317">
      <c r="A317" s="11" t="inlineStr">
        <is>
          <t>592-18-LP26</t>
        </is>
      </c>
      <c r="B317" s="13" t="inlineStr">
        <is>
          <t>Servicio de Obras Menores en edificio NC y Otras</t>
        </is>
      </c>
      <c r="C317" s="11" t="n">
        <v>8</v>
      </c>
      <c r="D317" s="13" t="inlineStr">
        <is>
          <t>solo mencion de inmueble, sin servicio inmobiliario</t>
        </is>
      </c>
    </row>
    <row r="318">
      <c r="A318" s="11" t="inlineStr">
        <is>
          <t>605-19-LR26</t>
        </is>
      </c>
      <c r="B318" s="13" t="inlineStr">
        <is>
          <t>SERVICIO DE ARRIENDO A CINCO AÑOS DEL SISTEMA DE A</t>
        </is>
      </c>
      <c r="C318" s="11" t="n">
        <v>0</v>
      </c>
      <c r="D318" s="13" t="inlineStr">
        <is>
          <t>score 0 &lt; 30</t>
        </is>
      </c>
    </row>
    <row r="319">
      <c r="A319" s="11" t="inlineStr">
        <is>
          <t>619133-117-LP26</t>
        </is>
      </c>
      <c r="B319" s="13" t="inlineStr">
        <is>
          <t xml:space="preserve">CONSTRUCCIÓN Y HABILITACIÓN DE RESIDENCIAS MÉDICAS EN  HOSPITAL SAN CAMILO DE SAN FELIPE </t>
        </is>
      </c>
      <c r="C319" s="11" t="n">
        <v>16</v>
      </c>
      <c r="D319" s="13" t="inlineStr">
        <is>
          <t>score 16 &lt; 30</t>
        </is>
      </c>
    </row>
    <row r="320">
      <c r="A320" s="11" t="inlineStr">
        <is>
          <t>632-11-LE26</t>
        </is>
      </c>
      <c r="B320" s="13" t="inlineStr">
        <is>
          <t>SERVICIO DE DESARROLLO DEL INFORME 5 PARA EL DIAGNOSTICO Y ELABORACIÓN DEL PLAN MAESTRO DEL BARRIO PUDEPAR DE LA COMUNA DE CARTAGENA</t>
        </is>
      </c>
      <c r="C320" s="11" t="n">
        <v>16</v>
      </c>
      <c r="D320" s="13" t="inlineStr">
        <is>
          <t>score 16 &lt; 30</t>
        </is>
      </c>
    </row>
    <row r="321">
      <c r="A321" s="11" t="inlineStr">
        <is>
          <t>635-165-L126</t>
        </is>
      </c>
      <c r="B321" s="13" t="inlineStr">
        <is>
          <t>SERVICIO DE DESMONTAJE, TRASLADO Y ARMADO DE LA BODEGA DAP E INSTALACION DE PUERTA DE ACCESO  INMUEBLE AV. BARROS ARANA N 2699, SERVICIO DE SALUD ARICA Y PARINACOTA, AÑO 2026</t>
        </is>
      </c>
      <c r="C321" s="11" t="n">
        <v>18</v>
      </c>
      <c r="D321" s="13" t="inlineStr">
        <is>
          <t>score 18 &lt; 30</t>
        </is>
      </c>
    </row>
    <row r="322">
      <c r="A322" s="11" t="inlineStr">
        <is>
          <t>638-14-O126</t>
        </is>
      </c>
      <c r="B322" s="13" t="inlineStr">
        <is>
          <t>CONSTRUCCIÓN EDIFICIO INSTITUCIONAL MINVU MAGALLANES Y ANTÁRTICA CHILENA</t>
        </is>
      </c>
      <c r="C322" s="11" t="n">
        <v>8</v>
      </c>
      <c r="D322" s="13" t="inlineStr">
        <is>
          <t>solo mencion de inmueble, sin servicio inmobiliario</t>
        </is>
      </c>
    </row>
    <row r="323">
      <c r="A323" s="11" t="inlineStr">
        <is>
          <t>643-37-LE26</t>
        </is>
      </c>
      <c r="B323" s="13" t="inlineStr">
        <is>
          <t>SERVICIO TRASLADO FUNCIONARIOS ISLA DE PASCUA</t>
        </is>
      </c>
      <c r="C323" s="11" t="n">
        <v>9</v>
      </c>
      <c r="D323" s="13" t="inlineStr">
        <is>
          <t>score 9 &lt; 30</t>
        </is>
      </c>
    </row>
    <row r="324">
      <c r="A324" s="11" t="inlineStr">
        <is>
          <t>652-59-LE26</t>
        </is>
      </c>
      <c r="B324" s="13" t="inlineStr">
        <is>
          <t>ARRIENDO DE SUV 4X4 POR 24 MESES</t>
        </is>
      </c>
      <c r="C324" s="11" t="n">
        <v>0</v>
      </c>
      <c r="D324" s="13" t="inlineStr">
        <is>
          <t>score 0 &lt; 30</t>
        </is>
      </c>
    </row>
    <row r="325">
      <c r="A325" s="11" t="inlineStr">
        <is>
          <t>653-15-O126</t>
        </is>
      </c>
      <c r="B325" s="13" t="inlineStr">
        <is>
          <t>Habilitación de Terrenos Etapa V Lote D y E, Las Americas, Talca</t>
        </is>
      </c>
      <c r="C325" s="11" t="n">
        <v>15</v>
      </c>
      <c r="D325" s="13" t="inlineStr">
        <is>
          <t>score 15 &lt; 30</t>
        </is>
      </c>
    </row>
    <row r="326">
      <c r="A326" s="11" t="inlineStr">
        <is>
          <t>660-15-LE26</t>
        </is>
      </c>
      <c r="B326" s="13" t="inlineStr">
        <is>
          <t>OBRAS MENORES EDIFICIO SEREMI MINVU</t>
        </is>
      </c>
      <c r="C326" s="11" t="n">
        <v>14</v>
      </c>
      <c r="D326" s="13" t="inlineStr">
        <is>
          <t>score 14 &lt; 30</t>
        </is>
      </c>
    </row>
    <row r="327">
      <c r="A327" s="11" t="inlineStr">
        <is>
          <t>680529-2-L126</t>
        </is>
      </c>
      <c r="B327" s="13" t="inlineStr">
        <is>
          <t>SERVICIO DE MANTENCIÓN SEMESTRAL DEL SISTEMA DE BOMBAS ELEVACIÓN DE AGUA DEL EDIFICIO QUE ALBERGA AL JUZGADO DE FAMILIA DE PARRAL</t>
        </is>
      </c>
      <c r="C327" s="11" t="n">
        <v>8</v>
      </c>
      <c r="D327" s="13" t="inlineStr">
        <is>
          <t>solo mencion de inmueble, sin servicio inmobiliario</t>
        </is>
      </c>
    </row>
    <row r="328">
      <c r="A328" s="11" t="inlineStr">
        <is>
          <t>681016-4-L126</t>
        </is>
      </c>
      <c r="B328" s="13" t="inlineStr">
        <is>
          <t>ADQUISICIÓN DE BIDONES DE AGUA PURIFICADA Y DISPENSADORES EN COMODATO</t>
        </is>
      </c>
      <c r="C328" s="11" t="n">
        <v>0</v>
      </c>
      <c r="D328" s="13" t="inlineStr">
        <is>
          <t>score 0 &lt; 30</t>
        </is>
      </c>
    </row>
    <row r="329">
      <c r="A329" s="11" t="inlineStr">
        <is>
          <t>692277-7-LE26</t>
        </is>
      </c>
      <c r="B329" s="13" t="inlineStr">
        <is>
          <t>Servicio Retiro Traslado y Eliminación Residuos</t>
        </is>
      </c>
      <c r="C329" s="11" t="n">
        <v>8</v>
      </c>
      <c r="D329" s="13" t="inlineStr">
        <is>
          <t>score 8 &lt; 30</t>
        </is>
      </c>
    </row>
    <row r="330">
      <c r="A330" s="11" t="inlineStr">
        <is>
          <t>696954-3-LE26</t>
        </is>
      </c>
      <c r="B330" s="13" t="inlineStr">
        <is>
          <t>Servicio de cierre de oficinas en 2 y 6 piso PMont</t>
        </is>
      </c>
      <c r="C330" s="11" t="n">
        <v>13</v>
      </c>
      <c r="D330" s="13" t="inlineStr">
        <is>
          <t>score 13 &lt; 30</t>
        </is>
      </c>
    </row>
    <row r="331">
      <c r="A331" s="11" t="inlineStr">
        <is>
          <t>697057-33-LE26</t>
        </is>
      </c>
      <c r="B331" s="13" t="inlineStr">
        <is>
          <t>Construcción de cubierta e instalación de ventanas</t>
        </is>
      </c>
      <c r="C331" s="11" t="n">
        <v>0</v>
      </c>
      <c r="D331" s="13" t="inlineStr">
        <is>
          <t>score 0 &lt; 30</t>
        </is>
      </c>
    </row>
    <row r="332">
      <c r="A332" s="11" t="inlineStr">
        <is>
          <t>699866-136-LP26</t>
        </is>
      </c>
      <c r="B332" s="13" t="inlineStr">
        <is>
          <t>ADQUISICIÓN BAJADA DOBLE CANAL CON DOS TAPONES LIBRE DE AGUA CON KIT CAPTOR DE PIC Y EQUIO EN COMODATO</t>
        </is>
      </c>
      <c r="C332" s="11" t="n">
        <v>10</v>
      </c>
      <c r="D332" s="13" t="inlineStr">
        <is>
          <t>score 10 &lt; 30</t>
        </is>
      </c>
    </row>
    <row r="333">
      <c r="A333" s="11" t="inlineStr">
        <is>
          <t>699866-98-LE26</t>
        </is>
      </c>
      <c r="B333" s="13" t="inlineStr">
        <is>
          <t>ADQUISICION PELICULAS RADIOGRAFICAS Y MAMOGRAFICAS CON EQUIPO EN COMODATO</t>
        </is>
      </c>
      <c r="C333" s="11" t="n">
        <v>0</v>
      </c>
      <c r="D333" s="13" t="inlineStr">
        <is>
          <t>score 0 &lt; 30</t>
        </is>
      </c>
    </row>
    <row r="334">
      <c r="A334" s="11" t="inlineStr">
        <is>
          <t>701-29-LE26</t>
        </is>
      </c>
      <c r="B334" s="13" t="inlineStr">
        <is>
          <t>ARRIENDO DE DISCOS DUROS SATA</t>
        </is>
      </c>
      <c r="C334" s="11" t="n">
        <v>0</v>
      </c>
      <c r="D334" s="13" t="inlineStr">
        <is>
          <t>score 0 &lt; 30</t>
        </is>
      </c>
    </row>
    <row r="335">
      <c r="A335" s="11" t="inlineStr">
        <is>
          <t>705290-72-LP26</t>
        </is>
      </c>
      <c r="B335" s="13" t="inlineStr">
        <is>
          <t>CIRUGIA DE CATARATAS CON EQUIPO E INSTRUMENTAL EN COMODATO</t>
        </is>
      </c>
      <c r="C335" s="11" t="n">
        <v>0</v>
      </c>
      <c r="D335" s="13" t="inlineStr">
        <is>
          <t>score 0 &lt; 30</t>
        </is>
      </c>
    </row>
    <row r="336">
      <c r="A336" s="11" t="inlineStr">
        <is>
          <t>707423-71-L126</t>
        </is>
      </c>
      <c r="B336" s="13" t="inlineStr">
        <is>
          <t>Aniversario Jardines Infantiles, Oficina Regional.</t>
        </is>
      </c>
      <c r="C336" s="11" t="n">
        <v>10</v>
      </c>
      <c r="D336" s="13" t="inlineStr">
        <is>
          <t>solo mencion de inmueble, sin servicio inmobiliario</t>
        </is>
      </c>
    </row>
    <row r="337">
      <c r="A337" s="11" t="inlineStr">
        <is>
          <t>712307-22-LR26</t>
        </is>
      </c>
      <c r="B337" s="13" t="inlineStr">
        <is>
          <t>Conservación Parque Pulmahue Padre Las Casas</t>
        </is>
      </c>
      <c r="C337" s="11" t="n">
        <v>5</v>
      </c>
      <c r="D337" s="13" t="inlineStr">
        <is>
          <t>solo mencion de inmueble, sin servicio inmobiliario</t>
        </is>
      </c>
    </row>
    <row r="338">
      <c r="A338" s="11" t="inlineStr">
        <is>
          <t>720-13-LE26</t>
        </is>
      </c>
      <c r="B338" s="13" t="inlineStr">
        <is>
          <t>PACS.C. N°268-2026. CONTRATACIÓN DE PRESTACIÓN DE SERVICIOS PARA REPOSICIÓN Y HABILITACIÓN DE RADIER PARA SALAS DE ADULTO Y EMPAQUE PARA EL CPIE.</t>
        </is>
      </c>
      <c r="C338" s="11" t="n">
        <v>0</v>
      </c>
      <c r="D338" s="13" t="inlineStr">
        <is>
          <t>score 0 &lt; 30</t>
        </is>
      </c>
    </row>
    <row r="339">
      <c r="A339" s="11" t="inlineStr">
        <is>
          <t>720-14-LP26</t>
        </is>
      </c>
      <c r="B339" s="13" t="inlineStr">
        <is>
          <t>NO PAC. C.S. SERV. TRASLADO PERSONAL OF. SAG SECTORIAL ARICA TRAMOS: ARICA-CUYA CUYA-ARICA EMERGENCIA.</t>
        </is>
      </c>
      <c r="C339" s="11" t="n">
        <v>9</v>
      </c>
      <c r="D339" s="13" t="inlineStr">
        <is>
          <t>score 9 &lt; 30</t>
        </is>
      </c>
    </row>
    <row r="340">
      <c r="A340" s="11" t="inlineStr">
        <is>
          <t>721-32-L126</t>
        </is>
      </c>
      <c r="B340" s="13" t="inlineStr">
        <is>
          <t>Provisión e Instalación de ventanales en Agencia Capredena Talcahuano</t>
        </is>
      </c>
      <c r="C340" s="11" t="n">
        <v>0</v>
      </c>
      <c r="D340" s="13" t="inlineStr">
        <is>
          <t>score 0 &lt; 30</t>
        </is>
      </c>
    </row>
    <row r="341">
      <c r="A341" s="11" t="inlineStr">
        <is>
          <t>722-6-LR26</t>
        </is>
      </c>
      <c r="B341" s="13" t="inlineStr">
        <is>
          <t>SERVICIO ADMINISTRACIÓN INTEGRAL DEL EDIFICIO GORE</t>
        </is>
      </c>
      <c r="C341" s="11" t="n">
        <v>8</v>
      </c>
      <c r="D341" s="13" t="inlineStr">
        <is>
          <t>solo mencion de inmueble, sin servicio inmobiliario</t>
        </is>
      </c>
    </row>
    <row r="342">
      <c r="A342" s="11" t="inlineStr">
        <is>
          <t>730377-2-L126</t>
        </is>
      </c>
      <c r="B342" s="13" t="inlineStr">
        <is>
          <t>Servicio de arriendo de dispensadores de agua purificada para 2°Juzgado de Familia de San Miguel</t>
        </is>
      </c>
      <c r="C342" s="11" t="n">
        <v>16</v>
      </c>
      <c r="D342" s="13" t="inlineStr">
        <is>
          <t>score 16 &lt; 30</t>
        </is>
      </c>
    </row>
    <row r="343">
      <c r="A343" s="11" t="inlineStr">
        <is>
          <t>730391-4-LE26</t>
        </is>
      </c>
      <c r="B343" s="13" t="inlineStr">
        <is>
          <t>TRASLADO DE EXPEDIENTES Y DOCUM. EN VALIJA CERRADA</t>
        </is>
      </c>
      <c r="C343" s="11" t="n">
        <v>0</v>
      </c>
      <c r="D343" s="13" t="inlineStr">
        <is>
          <t>score 0 &lt; 30</t>
        </is>
      </c>
    </row>
    <row r="344">
      <c r="A344" s="11" t="inlineStr">
        <is>
          <t>732434-24-I226</t>
        </is>
      </c>
      <c r="B344" s="13" t="inlineStr">
        <is>
          <t>3er llamado: Arriendo de Cámaras Frías para el CSC</t>
        </is>
      </c>
      <c r="C344" s="11" t="n">
        <v>0</v>
      </c>
      <c r="D344" s="13" t="inlineStr">
        <is>
          <t>score 0 &lt; 30</t>
        </is>
      </c>
    </row>
    <row r="345">
      <c r="A345" s="11" t="inlineStr">
        <is>
          <t>739231-20-LE26</t>
        </is>
      </c>
      <c r="B345" s="13" t="inlineStr">
        <is>
          <t>Conservación Recintos de Captación de Agua Rural</t>
        </is>
      </c>
      <c r="C345" s="11" t="n">
        <v>5</v>
      </c>
      <c r="D345" s="13" t="inlineStr">
        <is>
          <t>solo mencion de inmueble, sin servicio inmobiliario</t>
        </is>
      </c>
    </row>
    <row r="346">
      <c r="A346" s="11" t="inlineStr">
        <is>
          <t>750998-73-LE26</t>
        </is>
      </c>
      <c r="B346" s="13" t="inlineStr">
        <is>
          <t>HABILITACIÓN OFICINA BARRIAL-BARRIO CÍVICO</t>
        </is>
      </c>
      <c r="C346" s="11" t="n">
        <v>16</v>
      </c>
      <c r="D346" s="13" t="inlineStr">
        <is>
          <t>score 16 &lt; 30</t>
        </is>
      </c>
    </row>
    <row r="347">
      <c r="A347" s="11" t="inlineStr">
        <is>
          <t>784642-5-LE26</t>
        </is>
      </c>
      <c r="B347" s="13" t="inlineStr">
        <is>
          <t>MEJORAMIENTO DE FACHADA EDIFICIO CENTRAL</t>
        </is>
      </c>
      <c r="C347" s="11" t="n">
        <v>8</v>
      </c>
      <c r="D347" s="13" t="inlineStr">
        <is>
          <t>solo mencion de inmueble, sin servicio inmobiliario</t>
        </is>
      </c>
    </row>
    <row r="348">
      <c r="A348" s="11" t="inlineStr">
        <is>
          <t>799512-60-LE26</t>
        </is>
      </c>
      <c r="B348" s="13" t="inlineStr">
        <is>
          <t>HABILITACION DE ESPACIOS PARA LA ACTIVIDAD FISICA.</t>
        </is>
      </c>
      <c r="C348" s="11" t="n">
        <v>12</v>
      </c>
      <c r="D348" s="13" t="inlineStr">
        <is>
          <t>score 12 &lt; 30</t>
        </is>
      </c>
    </row>
    <row r="349">
      <c r="A349" s="11" t="inlineStr">
        <is>
          <t>800-7-B226</t>
        </is>
      </c>
      <c r="B349" s="13" t="inlineStr">
        <is>
          <t>SUMINISTRO DE BAJADAS DE BOMBAS DE INFUSION CONTINUA DE ANALGESIA CONTROLADA POR EL PACIENTE CON EQUIPO EN COMODATO</t>
        </is>
      </c>
      <c r="C349" s="11" t="n">
        <v>0</v>
      </c>
      <c r="D349" s="13" t="inlineStr">
        <is>
          <t>score 0 &lt; 30</t>
        </is>
      </c>
    </row>
    <row r="350">
      <c r="A350" s="11" t="inlineStr">
        <is>
          <t>813-105-LR26</t>
        </is>
      </c>
      <c r="B350" s="13" t="inlineStr">
        <is>
          <t>PP 49.2026 Adquisición bajo la modalidad de suministro de material de laboratorio para el Departamento Nacional de Referencia de Salud Ambiental E102RT9.</t>
        </is>
      </c>
      <c r="C350" s="11" t="n">
        <v>5</v>
      </c>
      <c r="D350" s="13" t="inlineStr">
        <is>
          <t>solo mencion de inmueble, sin servicio inmobiliario</t>
        </is>
      </c>
    </row>
    <row r="351">
      <c r="A351" s="11" t="inlineStr">
        <is>
          <t>813685-15-LE26</t>
        </is>
      </c>
      <c r="B351" s="13" t="inlineStr">
        <is>
          <t>SERVICIO DE MANTENCIÓN PREVENTIVA A LOS EQUIPOS DE CLIMATIZACIÓN Y REFRIGERACIÓN DE LOS EDIFICIOS DEPENDIENTES DE LA DIRECCIÓN GENERAL DEL TERRITORIO MARITIMO Y DE MARINA MERCANTE</t>
        </is>
      </c>
      <c r="C351" s="11" t="n">
        <v>14</v>
      </c>
      <c r="D351" s="13" t="inlineStr">
        <is>
          <t>score 14 &lt; 30</t>
        </is>
      </c>
    </row>
    <row r="352">
      <c r="A352" s="11" t="inlineStr">
        <is>
          <t>820-3-O126</t>
        </is>
      </c>
      <c r="B352" s="13" t="inlineStr">
        <is>
          <t>RESTAURACIÓN Y HABILITACIÓN BIBLIOTECA MUNICIPAL EX ESCUELA 3, HUASCO</t>
        </is>
      </c>
      <c r="C352" s="11" t="n">
        <v>0</v>
      </c>
      <c r="D352" s="13" t="inlineStr">
        <is>
          <t>score 0 &lt; 30</t>
        </is>
      </c>
    </row>
    <row r="353">
      <c r="A353" s="11" t="inlineStr">
        <is>
          <t>825-9-O126</t>
        </is>
      </c>
      <c r="B353" s="13" t="inlineStr">
        <is>
          <t>OBRAS RESG INIC CASA MAQ MON HIST PLANTA HIDRO CHIVILINGO 4o LLAMADO</t>
        </is>
      </c>
      <c r="C353" s="11" t="n">
        <v>5</v>
      </c>
      <c r="D353" s="13" t="inlineStr">
        <is>
          <t>solo mencion de inmueble, sin servicio inmobiliario</t>
        </is>
      </c>
    </row>
    <row r="354">
      <c r="A354" s="11" t="inlineStr">
        <is>
          <t>855-18-LR26</t>
        </is>
      </c>
      <c r="B354" s="13" t="inlineStr">
        <is>
          <t xml:space="preserve">CHEE-SUMINISTRO MANTENCION Y REPARACION DEPENDENCIAS JUNJI XII </t>
        </is>
      </c>
      <c r="C354" s="11" t="n">
        <v>8</v>
      </c>
      <c r="D354" s="13" t="inlineStr">
        <is>
          <t>solo mencion de inmueble, sin servicio inmobiliario</t>
        </is>
      </c>
    </row>
    <row r="355">
      <c r="A355" s="11" t="inlineStr">
        <is>
          <t>867990-117-L126</t>
        </is>
      </c>
      <c r="B355" s="13" t="inlineStr">
        <is>
          <t>CDP 93856 CC 102 - Retiro Cubierta Galpón Belisario Prats USACH</t>
        </is>
      </c>
      <c r="C355" s="11" t="n">
        <v>7</v>
      </c>
      <c r="D355" s="13" t="inlineStr">
        <is>
          <t>solo mencion de inmueble, sin servicio inmobiliario</t>
        </is>
      </c>
    </row>
    <row r="356">
      <c r="A356" s="11" t="inlineStr">
        <is>
          <t>881-18-LE26</t>
        </is>
      </c>
      <c r="B356" s="13" t="inlineStr">
        <is>
          <t>SERVICIO DE TRASLADOS VIII FORO</t>
        </is>
      </c>
      <c r="C356" s="11" t="n">
        <v>0</v>
      </c>
      <c r="D356" s="13" t="inlineStr">
        <is>
          <t>score 0 &lt; 30</t>
        </is>
      </c>
    </row>
    <row r="357">
      <c r="A357" s="11" t="inlineStr">
        <is>
          <t>889473-63-LP26</t>
        </is>
      </c>
      <c r="B357" s="13" t="inlineStr">
        <is>
          <t>SC 8919 - Habilitación de baños y camarines UOH</t>
        </is>
      </c>
      <c r="C357" s="11" t="n">
        <v>6</v>
      </c>
      <c r="D357" s="13" t="inlineStr">
        <is>
          <t>score 6 &lt; 30</t>
        </is>
      </c>
    </row>
    <row r="358">
      <c r="A358" s="11" t="inlineStr">
        <is>
          <t>956-60-LE26</t>
        </is>
      </c>
      <c r="B358" s="13" t="inlineStr">
        <is>
          <t>Contratación de los servicios de habilitación de sistema de ventilación en oficinas de Decomiso</t>
        </is>
      </c>
      <c r="C358" s="11" t="n">
        <v>16</v>
      </c>
      <c r="D358" s="13" t="inlineStr">
        <is>
          <t>score 16 &lt; 30</t>
        </is>
      </c>
    </row>
    <row r="359">
      <c r="A359" s="11" t="inlineStr">
        <is>
          <t>966539-30-LE26</t>
        </is>
      </c>
      <c r="B359" s="13" t="inlineStr">
        <is>
          <t xml:space="preserve">MEJORAMIENTO RECINTO EX INTERNADO MUNICIPAL DE MARCHIGUE </t>
        </is>
      </c>
      <c r="C359" s="11" t="n">
        <v>5</v>
      </c>
      <c r="D359" s="13" t="inlineStr">
        <is>
          <t>solo mencion de inmueble, sin servicio inmobiliario</t>
        </is>
      </c>
    </row>
    <row r="360">
      <c r="A360" s="11" t="inlineStr">
        <is>
          <t>979-71-LE26</t>
        </is>
      </c>
      <c r="B360" s="13" t="inlineStr">
        <is>
          <t>Materiales para reparación de oficina</t>
        </is>
      </c>
      <c r="C360" s="11" t="n">
        <v>10</v>
      </c>
      <c r="D360" s="13" t="inlineStr">
        <is>
          <t>solo mencion de inmueble, sin servicio inmobiliario</t>
        </is>
      </c>
    </row>
    <row r="361">
      <c r="A361" s="11" t="inlineStr">
        <is>
          <t>985737-18-LE26</t>
        </is>
      </c>
      <c r="B361" s="13" t="inlineStr">
        <is>
          <t>HABILITACIÓN DE OFICINA EQUIDAD DE GÉNERO CRM22101</t>
        </is>
      </c>
      <c r="C361" s="11" t="n">
        <v>13</v>
      </c>
      <c r="D361" s="13" t="inlineStr">
        <is>
          <t>score 13 &lt; 30</t>
        </is>
      </c>
    </row>
    <row r="362">
      <c r="A362" s="11" t="inlineStr">
        <is>
          <t>996-38-LP26</t>
        </is>
      </c>
      <c r="B362" s="13" t="inlineStr">
        <is>
          <t>ARRIENDO HORAS MAQUINAS DE SNOWCAR PARA LA NIEVE</t>
        </is>
      </c>
      <c r="C362" s="11" t="n">
        <v>0</v>
      </c>
      <c r="D362" s="13" t="inlineStr">
        <is>
          <t>score 0 &lt; 30</t>
        </is>
      </c>
    </row>
    <row r="363">
      <c r="A363" s="11" t="inlineStr">
        <is>
          <t>997-44-LE26</t>
        </is>
      </c>
      <c r="B363" s="13" t="inlineStr">
        <is>
          <t>13 días de arriendo Terminadora de Asfalto Finisher para apoyo de los trabajos de mezcla asfáltica en  caliente que se realizarán en distintos caminos de la Provincia de Cachapoal y Colchagua perteneciente a la Dirección de Vialidad Región del Liber</t>
        </is>
      </c>
      <c r="C363" s="11" t="n">
        <v>0</v>
      </c>
      <c r="D363" s="13" t="inlineStr">
        <is>
          <t>score 0 &lt;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2026-10-16T19:46:45Z</dcterms:created>
  <dcterms:modified xsi:type="dcterms:W3CDTF">2026-10-16T19:46:45Z</dcterms:modified>
</cp:coreProperties>
</file>