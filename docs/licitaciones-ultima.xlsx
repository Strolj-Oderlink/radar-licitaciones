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1E7A4B"/>
      <sz val="11"/>
    </font>
    <font>
      <name val="Arial"/>
      <b val="1"/>
      <color rgb="001E7A4B"/>
      <sz val="10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9AA5B1"/>
      <sz val="11"/>
    </font>
    <font>
      <name val="Arial"/>
      <b val="1"/>
      <color rgb="00B7791F"/>
      <sz val="10"/>
    </font>
  </fonts>
  <fills count="7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E8F6EE"/>
      </patternFill>
    </fill>
    <fill>
      <patternFill patternType="solid">
        <fgColor rgb="00DCF2E4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/>
    </xf>
    <xf numFmtId="0" fontId="1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/>
    </xf>
    <xf numFmtId="0" fontId="12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top"/>
    </xf>
    <xf numFmtId="0" fontId="1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/>
    </xf>
    <xf numFmtId="0" fontId="11" fillId="5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2403-71-L1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5358-9-LR26" TargetMode="External" Id="rId3" /><Relationship Type="http://schemas.openxmlformats.org/officeDocument/2006/relationships/hyperlink" Target="https://www.mercadopublico.cl/Procurement/Modules/RFB/DetailsAcquisition.aspx?idlicitacion=1063538-206-I226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2026-09-26 19:26 · UF 41,024.46 · 4,133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COUNTA(Matches!P2:P5)</f>
        <v/>
      </c>
    </row>
    <row r="6">
      <c r="A6" s="4" t="inlineStr">
        <is>
          <t>NUEVAS esta corrida</t>
        </is>
      </c>
      <c r="B6" s="5">
        <f>COUNTIF(Matches!A2:A5,"SI")</f>
        <v/>
      </c>
    </row>
    <row r="7">
      <c r="A7" s="4" t="inlineStr">
        <is>
          <t>Con cambios</t>
        </is>
      </c>
      <c r="B7" s="5">
        <f>COUNTIF(Matches!B2:B5,"CAMBIO*")</f>
        <v/>
      </c>
    </row>
    <row r="8">
      <c r="A8" s="4" t="inlineStr">
        <is>
          <t>Prioridad ALTA</t>
        </is>
      </c>
      <c r="B8" s="5">
        <f>COUNTIF(Matches!C2:C5,"ALTA")</f>
        <v/>
      </c>
    </row>
    <row r="9">
      <c r="A9" s="4" t="inlineStr">
        <is>
          <t>Mandatos de servicio</t>
        </is>
      </c>
      <c r="B9" s="5">
        <f>COUNTIF(Matches!E2:E5,"Mandato de SERVICIO")</f>
        <v/>
      </c>
    </row>
    <row r="10">
      <c r="A10" s="4" t="inlineStr">
        <is>
          <t>Estado busca inmueble</t>
        </is>
      </c>
      <c r="B10" s="5">
        <f>COUNTIF(Matches!E2:E5,"Estado BUSCA inmueble")</f>
        <v/>
      </c>
    </row>
    <row r="11">
      <c r="A11" s="4" t="inlineStr">
        <is>
          <t>Estado ofrece inmueble</t>
        </is>
      </c>
      <c r="B11" s="5">
        <f>COUNTIF(Matches!E2:E5,"Estado OFRECE inmueble")</f>
        <v/>
      </c>
    </row>
    <row r="12">
      <c r="A12" s="4" t="inlineStr">
        <is>
          <t>Sugeridas a Gamma</t>
        </is>
      </c>
      <c r="B12" s="5">
        <f>COUNTIF(Matches!G2:G5,"Gamma")</f>
        <v/>
      </c>
    </row>
    <row r="13">
      <c r="A13" s="4" t="inlineStr">
        <is>
          <t>Sugeridas a Realsa Brokers</t>
        </is>
      </c>
      <c r="B13" s="5">
        <f>COUNTIF(Matches!G2:G5,"Realsa Brokers")</f>
        <v/>
      </c>
    </row>
    <row r="14">
      <c r="A14" s="4" t="inlineStr">
        <is>
          <t>Cierran en &lt;= 7 dias</t>
        </is>
      </c>
      <c r="B14" s="5">
        <f>COUNTIFS(Matches!N2:N5,"&lt;=7",Matches!N2:N5,"&gt;=0")</f>
        <v/>
      </c>
    </row>
    <row r="15">
      <c r="A15" s="4" t="inlineStr">
        <is>
          <t>Monto UF agregado (publicado)</t>
        </is>
      </c>
      <c r="B15" s="5">
        <f>SUM(Matches!M2:M5)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SI</t>
        </is>
      </c>
      <c r="B2" s="11" t="inlineStr">
        <is>
          <t>NUEVA</t>
        </is>
      </c>
      <c r="C2" s="12" t="inlineStr">
        <is>
          <t>ALTA</t>
        </is>
      </c>
      <c r="D2" s="13" t="n">
        <v>80</v>
      </c>
      <c r="E2" s="13" t="inlineStr">
        <is>
          <t>Mandato de SERVICIO</t>
        </is>
      </c>
      <c r="F2" s="14" t="inlineStr">
        <is>
          <t>Contratan un servicio profesional inmobiliario: postulacion directa como oferente. Verificar requisitos de experiencia y garantia de seriedad.</t>
        </is>
      </c>
      <c r="G2" s="13" t="inlineStr">
        <is>
          <t>Gamma</t>
        </is>
      </c>
      <c r="H2" s="14" t="inlineStr">
        <is>
          <t>Servicio de tasación de bienes raíces municipales.</t>
        </is>
      </c>
      <c r="I2" s="14" t="inlineStr">
        <is>
          <t>I MUNICIPALIDAD DE PENALOLEN</t>
        </is>
      </c>
      <c r="J2" s="13" t="inlineStr">
        <is>
          <t>Región Metropolitana de Santiago</t>
        </is>
      </c>
      <c r="K2" s="13" t="inlineStr">
        <is>
          <t>L1</t>
        </is>
      </c>
      <c r="L2" s="13" t="inlineStr">
        <is>
          <t>no publicado</t>
        </is>
      </c>
      <c r="M2" s="13" t="n"/>
      <c r="N2" s="13" t="n">
        <v>6</v>
      </c>
      <c r="O2" s="13" t="inlineStr">
        <is>
          <t>2026-10-02 15:30</t>
        </is>
      </c>
      <c r="P2" s="13" t="inlineStr">
        <is>
          <t>2403-71-L126</t>
        </is>
      </c>
      <c r="Q2" s="14" t="inlineStr">
        <is>
          <t>nucleo/titulo: tasacion (+24) | objeto/titulo: bienes raices (+16) | UNSPSC 80131800 (+40)</t>
        </is>
      </c>
      <c r="R2" s="14" t="inlineStr">
        <is>
          <t>exige/pondera experiencia acreditable o es licitacion mayor</t>
        </is>
      </c>
      <c r="S2" s="14" t="inlineStr">
        <is>
          <t>La Municipalidad de Peñalolén requiere contratar el servicio de tasación de  terrenos municipales a través de profesionales calificados del rubro, con  experiencia en la materia de avalúos en bienes raíces terrenos, con el objeto de determinar su valor estimado en el mercado actual.</t>
        </is>
      </c>
      <c r="T2" s="13" t="inlineStr">
        <is>
          <t>Aníbal Acevedo</t>
        </is>
      </c>
      <c r="U2" s="13" t="inlineStr"/>
      <c r="V2" s="15" t="inlineStr">
        <is>
          <t>Ver ficha</t>
        </is>
      </c>
    </row>
    <row r="3" ht="46" customHeight="1">
      <c r="A3" s="16" t="inlineStr">
        <is>
          <t>NO</t>
        </is>
      </c>
      <c r="B3" s="17" t="inlineStr">
        <is>
          <t>VIGENTE</t>
        </is>
      </c>
      <c r="C3" s="18" t="inlineStr">
        <is>
          <t>ALTA</t>
        </is>
      </c>
      <c r="D3" s="17" t="n">
        <v>55</v>
      </c>
      <c r="E3" s="17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7" t="inlineStr">
        <is>
          <t>Gamma</t>
        </is>
      </c>
      <c r="H3" s="19" t="inlineStr">
        <is>
          <t>VENTA DE TERRENOS DE PROPIEDAD MUNICIPAL LA SERENA</t>
        </is>
      </c>
      <c r="I3" s="19" t="inlineStr">
        <is>
          <t>ILUSTRE MUNICIPALIDAD DE LA SERENA</t>
        </is>
      </c>
      <c r="J3" s="17" t="inlineStr">
        <is>
          <t>Región de Coquimbo</t>
        </is>
      </c>
      <c r="K3" s="17" t="inlineStr">
        <is>
          <t>LR</t>
        </is>
      </c>
      <c r="L3" s="17" t="inlineStr">
        <is>
          <t>no publicado</t>
        </is>
      </c>
      <c r="M3" s="17" t="n"/>
      <c r="N3" s="17" t="n">
        <v>51</v>
      </c>
      <c r="O3" s="17" t="inlineStr">
        <is>
          <t>2026-10-14 15:00</t>
        </is>
      </c>
      <c r="P3" s="17" t="inlineStr">
        <is>
          <t>4295-54-LR26</t>
        </is>
      </c>
      <c r="Q3" s="19" t="inlineStr">
        <is>
          <t>objeto/titulo: terreno (+9) | transaccion: venta (+6) | UNSPSC 80131600 (+40)</t>
        </is>
      </c>
      <c r="R3" s="19" t="inlineStr">
        <is>
          <t>exige/pondera experiencia acreditable o es licitacion mayor</t>
        </is>
      </c>
      <c r="S3" s="19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7" t="inlineStr">
        <is>
          <t>Dirección de Administración y Finanzas</t>
        </is>
      </c>
      <c r="U3" s="17" t="inlineStr"/>
      <c r="V3" s="20" t="inlineStr">
        <is>
          <t>Ver ficha</t>
        </is>
      </c>
    </row>
    <row r="4" ht="46" customHeight="1">
      <c r="A4" s="21" t="inlineStr">
        <is>
          <t>NO</t>
        </is>
      </c>
      <c r="B4" s="22" t="inlineStr">
        <is>
          <t>CAMBIO: monto UF 121976.0-&gt;121879.0</t>
        </is>
      </c>
      <c r="C4" s="23" t="inlineStr">
        <is>
          <t>MEDIA</t>
        </is>
      </c>
      <c r="D4" s="24" t="n">
        <v>49</v>
      </c>
      <c r="E4" s="24" t="inlineStr">
        <is>
          <t>Estado OFRECE inmueble</t>
        </is>
      </c>
      <c r="F4" s="25" t="inlineStr">
        <is>
          <t>El organismo vende o concesiona un activo: oportunidad de representar comprador/operador o de asesorar el proceso. Revisar bases y valor minimo.</t>
        </is>
      </c>
      <c r="G4" s="24" t="inlineStr">
        <is>
          <t>Gamma</t>
        </is>
      </c>
      <c r="H4" s="25" t="inlineStr">
        <is>
          <t>ADQUISICIÓN DE TERRENO PARA PROYECTO EDUCACIONAL U</t>
        </is>
      </c>
      <c r="I4" s="25" t="inlineStr">
        <is>
          <t>UNIVERSIDAD DE TARAPACA</t>
        </is>
      </c>
      <c r="J4" s="24" t="inlineStr">
        <is>
          <t>Región de Tarapacá</t>
        </is>
      </c>
      <c r="K4" s="24" t="inlineStr">
        <is>
          <t>LR</t>
        </is>
      </c>
      <c r="L4" s="24" t="inlineStr">
        <is>
          <t>CLP 5,000,000,000</t>
        </is>
      </c>
      <c r="M4" s="26" t="n">
        <v>121879</v>
      </c>
      <c r="N4" s="24" t="n">
        <v>53</v>
      </c>
      <c r="O4" s="24" t="inlineStr">
        <is>
          <t>2026-10-16 15:01</t>
        </is>
      </c>
      <c r="P4" s="24" t="inlineStr">
        <is>
          <t>5358-9-LR26</t>
        </is>
      </c>
      <c r="Q4" s="25" t="inlineStr">
        <is>
          <t>objeto/titulo: terreno (+9) | UNSPSC 80131600 (+40)</t>
        </is>
      </c>
      <c r="R4" s="25" t="inlineStr">
        <is>
          <t>exige/pondera experiencia acreditable o es licitacion mayor</t>
        </is>
      </c>
      <c r="S4" s="25" t="inlineStr">
        <is>
          <t>Lo indicado en Bases de la Licitación, aprobadas mediante Decreto N°21/2026 Adjunto.</t>
        </is>
      </c>
      <c r="T4" s="24" t="inlineStr">
        <is>
          <t>Jorge Bernal Peralta</t>
        </is>
      </c>
      <c r="U4" s="24" t="inlineStr"/>
      <c r="V4" s="27" t="inlineStr">
        <is>
          <t>Ver ficha</t>
        </is>
      </c>
    </row>
    <row r="5" ht="46" customHeight="1">
      <c r="A5" s="16" t="inlineStr">
        <is>
          <t>NO</t>
        </is>
      </c>
      <c r="B5" s="17" t="inlineStr">
        <is>
          <t>VIGENTE</t>
        </is>
      </c>
      <c r="C5" s="28" t="inlineStr">
        <is>
          <t>MEDIA</t>
        </is>
      </c>
      <c r="D5" s="17" t="n">
        <v>40</v>
      </c>
      <c r="E5" s="17" t="inlineStr">
        <is>
          <t>Estado BUSCA inmueble</t>
        </is>
      </c>
      <c r="F5" s="19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5" s="17" t="inlineStr">
        <is>
          <t>Realsa Brokers</t>
        </is>
      </c>
      <c r="H5" s="19" t="inlineStr">
        <is>
          <t>“ARRIENDO DE CELDAS DE MEDIA TENSION MT”</t>
        </is>
      </c>
      <c r="I5" s="19" t="inlineStr">
        <is>
          <t>HOSPITAL BASE OSORNO</t>
        </is>
      </c>
      <c r="J5" s="17" t="inlineStr">
        <is>
          <t>Región de los Lagos</t>
        </is>
      </c>
      <c r="K5" s="17" t="inlineStr">
        <is>
          <t>I2</t>
        </is>
      </c>
      <c r="L5" s="17" t="inlineStr">
        <is>
          <t>no publicado</t>
        </is>
      </c>
      <c r="M5" s="17" t="n"/>
      <c r="N5" s="17" t="n">
        <v>30</v>
      </c>
      <c r="O5" s="17" t="inlineStr">
        <is>
          <t>2026-09-28 17:00</t>
        </is>
      </c>
      <c r="P5" s="17" t="inlineStr">
        <is>
          <t>1063538-206-I226</t>
        </is>
      </c>
      <c r="Q5" s="19" t="inlineStr">
        <is>
          <t>UNSPSC 80131500 (+40)</t>
        </is>
      </c>
      <c r="R5" s="19" t="inlineStr">
        <is>
          <t>proceso menor o sin ponderacion fuerte de experiencia</t>
        </is>
      </c>
      <c r="S5" s="19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5" s="17" t="inlineStr">
        <is>
          <t>Yasna Albarran</t>
        </is>
      </c>
      <c r="U5" s="17" t="inlineStr"/>
      <c r="V5" s="20" t="inlineStr">
        <is>
          <t>Ver ficha</t>
        </is>
      </c>
    </row>
  </sheetData>
  <autoFilter ref="A1:V5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  <hyperlink xmlns:r="http://schemas.openxmlformats.org/officeDocument/2006/relationships" ref="V5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7" t="inlineStr">
        <is>
          <t>2403-71-L126</t>
        </is>
      </c>
      <c r="B2" s="19" t="inlineStr">
        <is>
          <t>Servicio de tasación de bienes raíces municipales.</t>
        </is>
      </c>
      <c r="C2" s="17" t="inlineStr">
        <is>
          <t>Gamma</t>
        </is>
      </c>
      <c r="D2" s="17" t="n">
        <v>80</v>
      </c>
      <c r="E2" s="17" t="inlineStr">
        <is>
          <t>Publicada</t>
        </is>
      </c>
      <c r="F2" s="17" t="inlineStr">
        <is>
          <t>2026-10-02 15:30</t>
        </is>
      </c>
      <c r="G2" s="17" t="n"/>
      <c r="H2" s="17" t="inlineStr">
        <is>
          <t>2026-09-26</t>
        </is>
      </c>
      <c r="I2" s="17" t="inlineStr">
        <is>
          <t>2026-09-26</t>
        </is>
      </c>
      <c r="J2" s="17" t="n">
        <v>1</v>
      </c>
    </row>
    <row r="3">
      <c r="A3" s="17" t="inlineStr">
        <is>
          <t>3994-21-L126</t>
        </is>
      </c>
      <c r="B3" s="19" t="inlineStr">
        <is>
          <t>SERVICIO DE TASACION COMERCIAL DE INMUEBLE</t>
        </is>
      </c>
      <c r="C3" s="17" t="inlineStr">
        <is>
          <t>Realsa Brokers</t>
        </is>
      </c>
      <c r="D3" s="17" t="n">
        <v>78</v>
      </c>
      <c r="E3" s="17" t="inlineStr">
        <is>
          <t>Publicada</t>
        </is>
      </c>
      <c r="F3" s="17" t="inlineStr">
        <is>
          <t>2026-08-26 15:00</t>
        </is>
      </c>
      <c r="G3" s="17" t="n"/>
      <c r="H3" s="17" t="inlineStr">
        <is>
          <t>2026-08-25</t>
        </is>
      </c>
      <c r="I3" s="17" t="inlineStr">
        <is>
          <t>2026-08-25</t>
        </is>
      </c>
      <c r="J3" s="17" t="n">
        <v>5</v>
      </c>
    </row>
    <row r="4">
      <c r="A4" s="17" t="inlineStr">
        <is>
          <t>2760-98-LE26</t>
        </is>
      </c>
      <c r="B4" s="19" t="inlineStr">
        <is>
          <t>ARRIENDO DE INMUEBLE PARA BODEGA Y ARCHIVOS INMEDIATOS DE DISTINTAS DIRECCIONES MUNICIPALES</t>
        </is>
      </c>
      <c r="C4" s="17" t="inlineStr">
        <is>
          <t>Realsa Brokers</t>
        </is>
      </c>
      <c r="D4" s="17" t="n">
        <v>66</v>
      </c>
      <c r="E4" s="17" t="inlineStr">
        <is>
          <t>Publicada</t>
        </is>
      </c>
      <c r="F4" s="17" t="inlineStr">
        <is>
          <t>2026-08-26 15:00</t>
        </is>
      </c>
      <c r="G4" s="17" t="n"/>
      <c r="H4" s="17" t="inlineStr">
        <is>
          <t>2026-08-25</t>
        </is>
      </c>
      <c r="I4" s="17" t="inlineStr">
        <is>
          <t>2026-08-25</t>
        </is>
      </c>
      <c r="J4" s="17" t="n">
        <v>5</v>
      </c>
    </row>
    <row r="5">
      <c r="A5" s="17" t="inlineStr">
        <is>
          <t>1743-64-LE26</t>
        </is>
      </c>
      <c r="B5" s="19" t="inlineStr">
        <is>
          <t>SERVICIO DE ARRIENDO INMUEBLES PARA OFICINAS</t>
        </is>
      </c>
      <c r="C5" s="17" t="inlineStr">
        <is>
          <t>Realsa Brokers</t>
        </is>
      </c>
      <c r="D5" s="17" t="n">
        <v>66</v>
      </c>
      <c r="E5" s="17" t="inlineStr">
        <is>
          <t>Publicada</t>
        </is>
      </c>
      <c r="F5" s="17" t="inlineStr">
        <is>
          <t>2026-08-31 16:00</t>
        </is>
      </c>
      <c r="G5" s="17" t="n"/>
      <c r="H5" s="17" t="inlineStr">
        <is>
          <t>2026-08-25</t>
        </is>
      </c>
      <c r="I5" s="17" t="inlineStr">
        <is>
          <t>2026-08-29</t>
        </is>
      </c>
      <c r="J5" s="17" t="n">
        <v>5</v>
      </c>
    </row>
    <row r="6">
      <c r="A6" s="17" t="inlineStr">
        <is>
          <t>2495-16-CO26</t>
        </is>
      </c>
      <c r="B6" s="19" t="inlineStr">
        <is>
          <t>ARRIENDO DE INMUEBLE PARA OFICINA Y RESIDENCIA</t>
        </is>
      </c>
      <c r="C6" s="17" t="inlineStr">
        <is>
          <t>Realsa Brokers</t>
        </is>
      </c>
      <c r="D6" s="17" t="n">
        <v>66</v>
      </c>
      <c r="E6" s="17" t="inlineStr">
        <is>
          <t>Publicada</t>
        </is>
      </c>
      <c r="F6" s="17" t="inlineStr">
        <is>
          <t>2026-08-31 16:00</t>
        </is>
      </c>
      <c r="G6" s="17" t="n"/>
      <c r="H6" s="17" t="inlineStr">
        <is>
          <t>2026-08-25</t>
        </is>
      </c>
      <c r="I6" s="17" t="inlineStr">
        <is>
          <t>2026-08-29</t>
        </is>
      </c>
      <c r="J6" s="17" t="n">
        <v>5</v>
      </c>
    </row>
    <row r="7">
      <c r="A7" s="17" t="inlineStr">
        <is>
          <t>2359-13-LP26</t>
        </is>
      </c>
      <c r="B7" s="19" t="inlineStr">
        <is>
          <t>ARRIENDO DE INMUEBLES 2026-2028</t>
        </is>
      </c>
      <c r="C7" s="17" t="inlineStr">
        <is>
          <t>Gamma</t>
        </is>
      </c>
      <c r="D7" s="17" t="n">
        <v>66</v>
      </c>
      <c r="E7" s="17" t="inlineStr">
        <is>
          <t>Publicada</t>
        </is>
      </c>
      <c r="F7" s="17" t="inlineStr">
        <is>
          <t>2026-09-08 15:30</t>
        </is>
      </c>
      <c r="G7" s="17" t="n"/>
      <c r="H7" s="17" t="inlineStr">
        <is>
          <t>2026-08-25</t>
        </is>
      </c>
      <c r="I7" s="17" t="inlineStr">
        <is>
          <t>2026-09-06</t>
        </is>
      </c>
      <c r="J7" s="17" t="n">
        <v>5</v>
      </c>
    </row>
    <row r="8">
      <c r="A8" s="17" t="inlineStr">
        <is>
          <t>2713-157-LP26</t>
        </is>
      </c>
      <c r="B8" s="19" t="inlineStr">
        <is>
          <t>Servicio de arriendo - Folio 852 - DIDECO</t>
        </is>
      </c>
      <c r="C8" s="17" t="inlineStr">
        <is>
          <t>Gamma</t>
        </is>
      </c>
      <c r="D8" s="17" t="n">
        <v>59</v>
      </c>
      <c r="E8" s="17" t="inlineStr">
        <is>
          <t>Publicada</t>
        </is>
      </c>
      <c r="F8" s="17" t="inlineStr">
        <is>
          <t>2026-09-02 09:30</t>
        </is>
      </c>
      <c r="G8" s="17" t="n">
        <v>3523</v>
      </c>
      <c r="H8" s="17" t="inlineStr">
        <is>
          <t>2026-08-25</t>
        </is>
      </c>
      <c r="I8" s="17" t="inlineStr">
        <is>
          <t>2026-08-29</t>
        </is>
      </c>
      <c r="J8" s="17" t="n">
        <v>5</v>
      </c>
    </row>
    <row r="9">
      <c r="A9" s="17" t="inlineStr">
        <is>
          <t>552578-38-L126</t>
        </is>
      </c>
      <c r="B9" s="19" t="inlineStr">
        <is>
          <t>CONCESIÓN DE LOCALES COMERCIALES PASEO SAN RAFAEL</t>
        </is>
      </c>
      <c r="C9" s="17" t="inlineStr">
        <is>
          <t>Realsa Brokers</t>
        </is>
      </c>
      <c r="D9" s="17" t="n">
        <v>56</v>
      </c>
      <c r="E9" s="17" t="inlineStr">
        <is>
          <t>Publicada</t>
        </is>
      </c>
      <c r="F9" s="17" t="inlineStr">
        <is>
          <t>2026-08-27 18:00</t>
        </is>
      </c>
      <c r="G9" s="17" t="n"/>
      <c r="H9" s="17" t="inlineStr">
        <is>
          <t>2026-08-25</t>
        </is>
      </c>
      <c r="I9" s="17" t="inlineStr">
        <is>
          <t>2026-08-25</t>
        </is>
      </c>
      <c r="J9" s="17" t="n">
        <v>5</v>
      </c>
    </row>
    <row r="10">
      <c r="A10" s="17" t="inlineStr">
        <is>
          <t>4295-54-LR26</t>
        </is>
      </c>
      <c r="B10" s="19" t="inlineStr">
        <is>
          <t>VENTA DE TERRENOS DE PROPIEDAD MUNICIPAL LA SERENA</t>
        </is>
      </c>
      <c r="C10" s="17" t="inlineStr">
        <is>
          <t>Gamma</t>
        </is>
      </c>
      <c r="D10" s="17" t="n">
        <v>55</v>
      </c>
      <c r="E10" s="17" t="inlineStr">
        <is>
          <t>Publicada</t>
        </is>
      </c>
      <c r="F10" s="17" t="inlineStr">
        <is>
          <t>2026-10-14 15:00</t>
        </is>
      </c>
      <c r="G10" s="17" t="n"/>
      <c r="H10" s="17" t="inlineStr">
        <is>
          <t>2026-08-25</t>
        </is>
      </c>
      <c r="I10" s="17" t="inlineStr">
        <is>
          <t>2026-09-26</t>
        </is>
      </c>
      <c r="J10" s="17" t="n">
        <v>5</v>
      </c>
    </row>
    <row r="11">
      <c r="A11" s="17" t="inlineStr">
        <is>
          <t>5358-9-LR26</t>
        </is>
      </c>
      <c r="B11" s="19" t="inlineStr">
        <is>
          <t>ADQUISICIÓN DE TERRENO PARA PROYECTO EDUCACIONAL U</t>
        </is>
      </c>
      <c r="C11" s="17" t="inlineStr">
        <is>
          <t>Gamma</t>
        </is>
      </c>
      <c r="D11" s="17" t="n">
        <v>49</v>
      </c>
      <c r="E11" s="17" t="inlineStr">
        <is>
          <t>Publicada</t>
        </is>
      </c>
      <c r="F11" s="17" t="inlineStr">
        <is>
          <t>2026-10-16 15:01</t>
        </is>
      </c>
      <c r="G11" s="17" t="n">
        <v>121879</v>
      </c>
      <c r="H11" s="17" t="inlineStr">
        <is>
          <t>2026-08-25</t>
        </is>
      </c>
      <c r="I11" s="17" t="inlineStr">
        <is>
          <t>2026-09-26</t>
        </is>
      </c>
      <c r="J11" s="17" t="n">
        <v>5</v>
      </c>
    </row>
    <row r="12">
      <c r="A12" s="17" t="inlineStr">
        <is>
          <t>1063538-206-I226</t>
        </is>
      </c>
      <c r="B12" s="19" t="inlineStr">
        <is>
          <t>“ARRIENDO DE CELDAS DE MEDIA TENSION MT”</t>
        </is>
      </c>
      <c r="C12" s="17" t="inlineStr">
        <is>
          <t>Realsa Brokers</t>
        </is>
      </c>
      <c r="D12" s="17" t="n">
        <v>40</v>
      </c>
      <c r="E12" s="17" t="inlineStr">
        <is>
          <t>Publicada</t>
        </is>
      </c>
      <c r="F12" s="17" t="inlineStr">
        <is>
          <t>2026-09-28 17:00</t>
        </is>
      </c>
      <c r="G12" s="17" t="n"/>
      <c r="H12" s="17" t="inlineStr">
        <is>
          <t>2026-08-29</t>
        </is>
      </c>
      <c r="I12" s="17" t="inlineStr">
        <is>
          <t>2026-09-26</t>
        </is>
      </c>
      <c r="J12" s="17" t="n">
        <v>5</v>
      </c>
    </row>
    <row r="13">
      <c r="A13" s="17" t="inlineStr">
        <is>
          <t>867990-62-LE26</t>
        </is>
      </c>
      <c r="B13" s="19" t="inlineStr">
        <is>
          <t>CDP 91352 - CC 102 — TASACIÓN DE BIENES INMUEBLES</t>
        </is>
      </c>
      <c r="C13" s="17" t="inlineStr">
        <is>
          <t>Realsa Brokers</t>
        </is>
      </c>
      <c r="D13" s="17" t="n">
        <v>38</v>
      </c>
      <c r="E13" s="17" t="inlineStr">
        <is>
          <t>Publicada</t>
        </is>
      </c>
      <c r="F13" s="17" t="inlineStr">
        <is>
          <t>2026-08-31 15:00</t>
        </is>
      </c>
      <c r="G13" s="17" t="n">
        <v>1101</v>
      </c>
      <c r="H13" s="17" t="inlineStr">
        <is>
          <t>2026-08-25</t>
        </is>
      </c>
      <c r="I13" s="17" t="inlineStr">
        <is>
          <t>2026-08-29</t>
        </is>
      </c>
      <c r="J13" s="17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/>
    <row r="3">
      <c r="A3" s="29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7" t="inlineStr">
        <is>
          <t>1002584-10-LE26</t>
        </is>
      </c>
      <c r="B2" s="19" t="inlineStr">
        <is>
          <t>SERVICIO ARRIENDO SISTEMA DE CONCILIACIÓN BANCARIA</t>
        </is>
      </c>
      <c r="C2" s="17" t="n">
        <v>0</v>
      </c>
      <c r="D2" s="19" t="inlineStr">
        <is>
          <t>score 0 &lt; 30</t>
        </is>
      </c>
    </row>
    <row r="3">
      <c r="A3" s="17" t="inlineStr">
        <is>
          <t>1002772-96-LP26</t>
        </is>
      </c>
      <c r="B3" s="19" t="inlineStr">
        <is>
          <t>INSTRUMENTAL DE NEURO CON CRANEOTOMO EN COMODATO</t>
        </is>
      </c>
      <c r="C3" s="17" t="n">
        <v>0</v>
      </c>
      <c r="D3" s="19" t="inlineStr">
        <is>
          <t>score 0 &lt; 30</t>
        </is>
      </c>
    </row>
    <row r="4">
      <c r="A4" s="17" t="inlineStr">
        <is>
          <t>1002772-97-LP26</t>
        </is>
      </c>
      <c r="B4" s="19" t="inlineStr">
        <is>
          <t>SUMINISTROS ODONTOLOGICOS PARA REHABILITACION ORAL</t>
        </is>
      </c>
      <c r="C4" s="17" t="n">
        <v>0</v>
      </c>
      <c r="D4" s="19" t="inlineStr">
        <is>
          <t>score 0 &lt; 30</t>
        </is>
      </c>
    </row>
    <row r="5">
      <c r="A5" s="17" t="inlineStr">
        <is>
          <t>1012975-17-L126</t>
        </is>
      </c>
      <c r="B5" s="19" t="inlineStr">
        <is>
          <t>CONVENIO DE SUMINISTRO PARA TRASLADOS DE PROFESIONALES DE SERNAMEG, CONVENIO DE TRANSFERENCIA DE RECURSOS Y EJECUCIÓN PROYECTO MULTAS VIF. VER DETALLE ANEXO ECONOMICO.</t>
        </is>
      </c>
      <c r="C5" s="17" t="n">
        <v>0</v>
      </c>
      <c r="D5" s="19" t="inlineStr">
        <is>
          <t>score 0 &lt; 30</t>
        </is>
      </c>
    </row>
    <row r="6">
      <c r="A6" s="17" t="inlineStr">
        <is>
          <t>1027-15-LP26</t>
        </is>
      </c>
      <c r="B6" s="19" t="inlineStr">
        <is>
          <t>Servicio de Mantención Reparación y Habilitación de Campamentos Móviles Talleres y Bodegas de la Administración Directa en la Provincia de Huasco Región de Atacama.</t>
        </is>
      </c>
      <c r="C6" s="17" t="n">
        <v>13</v>
      </c>
      <c r="D6" s="19" t="inlineStr">
        <is>
          <t>score 13 &lt; 30</t>
        </is>
      </c>
    </row>
    <row r="7">
      <c r="A7" s="17" t="inlineStr">
        <is>
          <t>1035685-19-LE26</t>
        </is>
      </c>
      <c r="B7" s="19" t="inlineStr">
        <is>
          <t>Ampliación de Espacio Académico Sede Panguipulli</t>
        </is>
      </c>
      <c r="C7" s="17" t="n">
        <v>8</v>
      </c>
      <c r="D7" s="19" t="inlineStr">
        <is>
          <t>solo mencion de inmueble, sin servicio inmobiliario</t>
        </is>
      </c>
    </row>
    <row r="8">
      <c r="A8" s="17" t="inlineStr">
        <is>
          <t>1039-7-LR26</t>
        </is>
      </c>
      <c r="B8" s="19" t="inlineStr">
        <is>
          <t>SERVICIO  DE ARRIENDO DE EQUIPO MECANIZADO</t>
        </is>
      </c>
      <c r="C8" s="17" t="n">
        <v>17</v>
      </c>
      <c r="D8" s="19" t="inlineStr">
        <is>
          <t>score 17 &lt; 30</t>
        </is>
      </c>
    </row>
    <row r="9">
      <c r="A9" s="17" t="inlineStr">
        <is>
          <t>1057049-322-I226</t>
        </is>
      </c>
      <c r="B9" s="19" t="inlineStr">
        <is>
          <t>SHV SUMINISTRO DE REACTIVOS PARA BIOLOGIA MOLECULAR CON COMODATO DE EQUIPOS LABORATORIO CENTRAL</t>
        </is>
      </c>
      <c r="C9" s="17" t="n">
        <v>0</v>
      </c>
      <c r="D9" s="19" t="inlineStr">
        <is>
          <t>score 0 &lt; 30</t>
        </is>
      </c>
    </row>
    <row r="10">
      <c r="A10" s="17" t="inlineStr">
        <is>
          <t>1057049-328-LR26</t>
        </is>
      </c>
      <c r="B10" s="19" t="inlineStr">
        <is>
          <t>SHV SUMINISTRO DE REACTIVOS DE AUTOINMUNIDAD CON EQUIPOS EN COMODATO LABORATORIO CENTRAL</t>
        </is>
      </c>
      <c r="C10" s="17" t="n">
        <v>0</v>
      </c>
      <c r="D10" s="19" t="inlineStr">
        <is>
          <t>score 0 &lt; 30</t>
        </is>
      </c>
    </row>
    <row r="11">
      <c r="A11" s="17" t="inlineStr">
        <is>
          <t>1057384-143-LE26</t>
        </is>
      </c>
      <c r="B11" s="19" t="inlineStr">
        <is>
          <t>Equipo en Comodato Convenio de suministro reactiv</t>
        </is>
      </c>
      <c r="C11" s="17" t="n">
        <v>0</v>
      </c>
      <c r="D11" s="19" t="inlineStr">
        <is>
          <t>score 0 &lt; 30</t>
        </is>
      </c>
    </row>
    <row r="12">
      <c r="A12" s="17" t="inlineStr">
        <is>
          <t>1057472-101-LP26</t>
        </is>
      </c>
      <c r="B12" s="19" t="inlineStr">
        <is>
          <t>ARRIENDO DE ENDOSCOPIOS</t>
        </is>
      </c>
      <c r="C12" s="17" t="n">
        <v>0</v>
      </c>
      <c r="D12" s="19" t="inlineStr">
        <is>
          <t>score 0 &lt; 30</t>
        </is>
      </c>
    </row>
    <row r="13">
      <c r="A13" s="17" t="inlineStr">
        <is>
          <t>1057486-21-LE26</t>
        </is>
      </c>
      <c r="B13" s="19" t="inlineStr">
        <is>
          <t>Servicio de rehabilitación psicosocial tipo I y II</t>
        </is>
      </c>
      <c r="C13" s="17" t="n">
        <v>0</v>
      </c>
      <c r="D13" s="19" t="inlineStr">
        <is>
          <t>score 0 &lt; 30</t>
        </is>
      </c>
    </row>
    <row r="14">
      <c r="A14" s="17" t="inlineStr">
        <is>
          <t>1057489-285-LP26</t>
        </is>
      </c>
      <c r="B14" s="19" t="inlineStr">
        <is>
          <t>Arriendo de Huelleros digitales y Pistola Escáner</t>
        </is>
      </c>
      <c r="C14" s="17" t="n">
        <v>0</v>
      </c>
      <c r="D14" s="19" t="inlineStr">
        <is>
          <t>score 0 &lt; 30</t>
        </is>
      </c>
    </row>
    <row r="15">
      <c r="A15" s="17" t="inlineStr">
        <is>
          <t>1057490-74-LE26</t>
        </is>
      </c>
      <c r="B15" s="19" t="inlineStr">
        <is>
          <t>Construcción Sobre Techo Dependencias INCA</t>
        </is>
      </c>
      <c r="C15" s="17" t="n">
        <v>8</v>
      </c>
      <c r="D15" s="19" t="inlineStr">
        <is>
          <t>solo mencion de inmueble, sin servicio inmobiliario</t>
        </is>
      </c>
    </row>
    <row r="16">
      <c r="A16" s="17" t="inlineStr">
        <is>
          <t>1057491-177-LP26</t>
        </is>
      </c>
      <c r="B16" s="19" t="inlineStr">
        <is>
          <t>ARRIENDO DE INSTRUMENTAL QUIRURGICO</t>
        </is>
      </c>
      <c r="C16" s="17" t="n">
        <v>0</v>
      </c>
      <c r="D16" s="19" t="inlineStr">
        <is>
          <t>score 0 &lt; 30</t>
        </is>
      </c>
    </row>
    <row r="17">
      <c r="A17" s="17" t="inlineStr">
        <is>
          <t>1057491-178-LP26</t>
        </is>
      </c>
      <c r="B17" s="19" t="inlineStr">
        <is>
          <t>EXAMENES POR CITOMETRIA DE FLUJO CON COMODATO</t>
        </is>
      </c>
      <c r="C17" s="17" t="n">
        <v>0</v>
      </c>
      <c r="D17" s="19" t="inlineStr">
        <is>
          <t>score 0 &lt; 30</t>
        </is>
      </c>
    </row>
    <row r="18">
      <c r="A18" s="17" t="inlineStr">
        <is>
          <t>1057491-187-LP26</t>
        </is>
      </c>
      <c r="B18" s="19" t="inlineStr">
        <is>
          <t>SUMINISTRO DE EXAMENES DE LABORATORIO CON COMODATO</t>
        </is>
      </c>
      <c r="C18" s="17" t="n">
        <v>0</v>
      </c>
      <c r="D18" s="19" t="inlineStr">
        <is>
          <t>score 0 &lt; 30</t>
        </is>
      </c>
    </row>
    <row r="19">
      <c r="A19" s="17" t="inlineStr">
        <is>
          <t>1057492-128-LP26</t>
        </is>
      </c>
      <c r="B19" s="19" t="inlineStr">
        <is>
          <t>SERVICIO ARRIENDO DE LAVADORA TERMODESINFECTADORA</t>
        </is>
      </c>
      <c r="C19" s="17" t="n">
        <v>0</v>
      </c>
      <c r="D19" s="19" t="inlineStr">
        <is>
          <t>score 0 &lt; 30</t>
        </is>
      </c>
    </row>
    <row r="20">
      <c r="A20" s="17" t="inlineStr">
        <is>
          <t>1057501-395-LR26</t>
        </is>
      </c>
      <c r="B20" s="19" t="inlineStr">
        <is>
          <t xml:space="preserve">Convenio Inmunohematología Unidad de Medicina Transfusional con equipos en comodato por 24 meses </t>
        </is>
      </c>
      <c r="C20" s="17" t="n">
        <v>0</v>
      </c>
      <c r="D20" s="19" t="inlineStr">
        <is>
          <t>score 0 &lt; 30</t>
        </is>
      </c>
    </row>
    <row r="21">
      <c r="A21" s="17" t="inlineStr">
        <is>
          <t>1057501-557-LE26</t>
        </is>
      </c>
      <c r="B21" s="19" t="inlineStr">
        <is>
          <t>ARRIENDO DE MODULOS PARA UNIDADES ADMINISTRATIVAS</t>
        </is>
      </c>
      <c r="C21" s="17" t="n">
        <v>16</v>
      </c>
      <c r="D21" s="19" t="inlineStr">
        <is>
          <t>score 16 &lt; 30</t>
        </is>
      </c>
    </row>
    <row r="22">
      <c r="A22" s="17" t="inlineStr">
        <is>
          <t>1057501-606-LR26</t>
        </is>
      </c>
      <c r="B22" s="19" t="inlineStr">
        <is>
          <t>CONVENIO BAJADAS BOMBA DE INFUSION CON COMODATO</t>
        </is>
      </c>
      <c r="C22" s="17" t="n">
        <v>0</v>
      </c>
      <c r="D22" s="19" t="inlineStr">
        <is>
          <t>score 0 &lt; 30</t>
        </is>
      </c>
    </row>
    <row r="23">
      <c r="A23" s="17" t="inlineStr">
        <is>
          <t>1057503-137-LR26</t>
        </is>
      </c>
      <c r="B23" s="19" t="inlineStr">
        <is>
          <t>Adquisición de Test Reportado de Orina Completa y Sedimentos Urinarios Automatizados con Equipamiento en Comodato para el Hospital Padre Alberto Hurtado</t>
        </is>
      </c>
      <c r="C23" s="17" t="n">
        <v>0</v>
      </c>
      <c r="D23" s="19" t="inlineStr">
        <is>
          <t>score 0 &lt; 30</t>
        </is>
      </c>
    </row>
    <row r="24">
      <c r="A24" s="17" t="inlineStr">
        <is>
          <t>1057509-275-LP26</t>
        </is>
      </c>
      <c r="B24" s="19" t="inlineStr">
        <is>
          <t>CONVENIO COMPRA DE SERVICIOS PARA TÉCNICOS DE BODEGA DE GASES CLÍNICOS</t>
        </is>
      </c>
      <c r="C24" s="17" t="n">
        <v>7</v>
      </c>
      <c r="D24" s="19" t="inlineStr">
        <is>
          <t>solo mencion de inmueble, sin servicio inmobiliario</t>
        </is>
      </c>
    </row>
    <row r="25">
      <c r="A25" s="17" t="inlineStr">
        <is>
          <t>1057509-282-LP26</t>
        </is>
      </c>
      <c r="B25" s="19" t="inlineStr">
        <is>
          <t>CONVENIO COMPRA DE SERVICIOS DE APOYO PROFESIONAL TÉCNICO Y ADMINISTRATIVO PARA EL DEPARTAMENTO TIC</t>
        </is>
      </c>
      <c r="C25" s="17" t="n">
        <v>5</v>
      </c>
      <c r="D25" s="19" t="inlineStr">
        <is>
          <t>solo mencion de inmueble, sin servicio inmobiliario</t>
        </is>
      </c>
    </row>
    <row r="26">
      <c r="A26" s="17" t="inlineStr">
        <is>
          <t>1057510-69-LE26</t>
        </is>
      </c>
      <c r="B26" s="19" t="inlineStr">
        <is>
          <t>CONVENIO ARRIENDO DE DISPENSADORES DE AGUA PURIFICADA CON CONEXIÓN A RED DE AGUA POTABLE PARA EL HOSPITAL DE SAN CARLOS DR. BENICIO ARZOLA MEDINA</t>
        </is>
      </c>
      <c r="C26" s="17" t="n">
        <v>0</v>
      </c>
      <c r="D26" s="19" t="inlineStr">
        <is>
          <t>score 0 &lt; 30</t>
        </is>
      </c>
    </row>
    <row r="27">
      <c r="A27" s="17" t="inlineStr">
        <is>
          <t>1057511-28-LE26</t>
        </is>
      </c>
      <c r="B27" s="19" t="inlineStr">
        <is>
          <t xml:space="preserve">COMPRA DE SERVICIOS DE TRASLADO HODOM POR CAMPAÑA </t>
        </is>
      </c>
      <c r="C27" s="17" t="n">
        <v>0</v>
      </c>
      <c r="D27" s="19" t="inlineStr">
        <is>
          <t>score 0 &lt; 30</t>
        </is>
      </c>
    </row>
    <row r="28">
      <c r="A28" s="17" t="inlineStr">
        <is>
          <t>1057532-77-LE26</t>
        </is>
      </c>
      <c r="B28" s="19" t="inlineStr">
        <is>
          <t>“ADQUISICION DE CINTAS DE GLICEMIA CON GLUCOMETROS EN COMODATO PARA RED ASISTENCIAL APS EN CUMPLIMIENTO DE PROGRAMAS MINISTERIALES DE APS”</t>
        </is>
      </c>
      <c r="C28" s="17" t="n">
        <v>0</v>
      </c>
      <c r="D28" s="19" t="inlineStr">
        <is>
          <t>score 0 &lt; 30</t>
        </is>
      </c>
    </row>
    <row r="29">
      <c r="A29" s="17" t="inlineStr">
        <is>
          <t>1057532-78-LP26</t>
        </is>
      </c>
      <c r="B29" s="19" t="inlineStr">
        <is>
          <t>CONVENIO DE ADQUISICION DE KIT POINT OF CARE POC CON ARRIENDO DE EQUIPO PARA ANALISIS DE MUESTRAS SERVICIO DE SALUD OSORNO.</t>
        </is>
      </c>
      <c r="C29" s="17" t="n">
        <v>0</v>
      </c>
      <c r="D29" s="19" t="inlineStr">
        <is>
          <t>score 0 &lt; 30</t>
        </is>
      </c>
    </row>
    <row r="30">
      <c r="A30" s="17" t="inlineStr">
        <is>
          <t>1057539-129-LP26</t>
        </is>
      </c>
      <c r="B30" s="19" t="inlineStr">
        <is>
          <t>CONVENIO SUMINISTRO OXIGENO Y ARRIENDO ESTANQUE.</t>
        </is>
      </c>
      <c r="C30" s="17" t="n">
        <v>0</v>
      </c>
      <c r="D30" s="19" t="inlineStr">
        <is>
          <t>score 0 &lt; 30</t>
        </is>
      </c>
    </row>
    <row r="31">
      <c r="A31" s="17" t="inlineStr">
        <is>
          <t>1057539-150-LP26</t>
        </is>
      </c>
      <c r="B31" s="19" t="inlineStr">
        <is>
          <t>CS prestaciones de uroanalisis con eq comodato</t>
        </is>
      </c>
      <c r="C31" s="17" t="n">
        <v>0</v>
      </c>
      <c r="D31" s="19" t="inlineStr">
        <is>
          <t>score 0 &lt; 30</t>
        </is>
      </c>
    </row>
    <row r="32">
      <c r="A32" s="17" t="inlineStr">
        <is>
          <t>1057539-151-LP26</t>
        </is>
      </c>
      <c r="B32" s="19" t="inlineStr">
        <is>
          <t>ARRIENDO DE SIMULADORES Y ANALIZADORES BIOMÉDICOS SOLIC 2026-401.</t>
        </is>
      </c>
      <c r="C32" s="17" t="n">
        <v>0</v>
      </c>
      <c r="D32" s="19" t="inlineStr">
        <is>
          <t>score 0 &lt; 30</t>
        </is>
      </c>
    </row>
    <row r="33">
      <c r="A33" s="17" t="inlineStr">
        <is>
          <t>1057977-14-LE26</t>
        </is>
      </c>
      <c r="B33" s="19" t="inlineStr">
        <is>
          <t>Ampliacion RX dental box medicos y bodegas H.Futa</t>
        </is>
      </c>
      <c r="C33" s="17" t="n">
        <v>7</v>
      </c>
      <c r="D33" s="19" t="inlineStr">
        <is>
          <t>solo mencion de inmueble, sin servicio inmobiliario</t>
        </is>
      </c>
    </row>
    <row r="34">
      <c r="A34" s="17" t="inlineStr">
        <is>
          <t>1058078-54-LP26</t>
        </is>
      </c>
      <c r="B34" s="19" t="inlineStr">
        <is>
          <t>Medios de Contraste Radiológicos con comodato</t>
        </is>
      </c>
      <c r="C34" s="17" t="n">
        <v>0</v>
      </c>
      <c r="D34" s="19" t="inlineStr">
        <is>
          <t>score 0 &lt; 30</t>
        </is>
      </c>
    </row>
    <row r="35">
      <c r="A35" s="17" t="inlineStr">
        <is>
          <t>1058086-49-LP26</t>
        </is>
      </c>
      <c r="B35" s="19" t="inlineStr">
        <is>
          <t xml:space="preserve">SUMINISTRO PROPOFOL ASOCIADO AL COMODATO DE BOMBAS DE INFUSIÓN CON MODELOS FARMACOCINÉTICOS </t>
        </is>
      </c>
      <c r="C35" s="17" t="n">
        <v>0</v>
      </c>
      <c r="D35" s="19" t="inlineStr">
        <is>
          <t>score 0 &lt; 30</t>
        </is>
      </c>
    </row>
    <row r="36">
      <c r="A36" s="17" t="inlineStr">
        <is>
          <t>1062448-11-LE26</t>
        </is>
      </c>
      <c r="B36" s="19" t="inlineStr">
        <is>
          <t>HABILITACIÓN BODEGA FICHAS CLÍNICAS CESFAM VIOLETA PARRA CHILLÁN</t>
        </is>
      </c>
      <c r="C36" s="17" t="n">
        <v>19</v>
      </c>
      <c r="D36" s="19" t="inlineStr">
        <is>
          <t>score 19 &lt; 30</t>
        </is>
      </c>
    </row>
    <row r="37">
      <c r="A37" s="17" t="inlineStr">
        <is>
          <t>1063538-222-LE26</t>
        </is>
      </c>
      <c r="B37" s="19" t="inlineStr">
        <is>
          <t>SERVICIO DE ARRIENDO LÁMPARAS QUIRÚRGICAS DOBLE</t>
        </is>
      </c>
      <c r="C37" s="17" t="n">
        <v>0</v>
      </c>
      <c r="D37" s="19" t="inlineStr">
        <is>
          <t>score 0 &lt; 30</t>
        </is>
      </c>
    </row>
    <row r="38">
      <c r="A38" s="17" t="inlineStr">
        <is>
          <t>1075963-370-LE26</t>
        </is>
      </c>
      <c r="B38" s="19" t="inlineStr">
        <is>
          <t>ARRIENDO CON OPCION DE COMPRA SECADOR KAESER REFRIGERATIVO KYOSEC POR 3 MESES</t>
        </is>
      </c>
      <c r="C38" s="17" t="n">
        <v>0</v>
      </c>
      <c r="D38" s="19" t="inlineStr">
        <is>
          <t>score 0 &lt; 30</t>
        </is>
      </c>
    </row>
    <row r="39">
      <c r="A39" s="17" t="inlineStr">
        <is>
          <t>1075963-403-L126</t>
        </is>
      </c>
      <c r="B39" s="19" t="inlineStr">
        <is>
          <t>ARRIENDO SISTEMA MONITOREO EN LINEA PARA REFRIGERADORES DE FARMACOS ONCOLOGICOS</t>
        </is>
      </c>
      <c r="C39" s="17" t="n">
        <v>15</v>
      </c>
      <c r="D39" s="19" t="inlineStr">
        <is>
          <t>score 15 &lt; 30</t>
        </is>
      </c>
    </row>
    <row r="40">
      <c r="A40" s="17" t="inlineStr">
        <is>
          <t>1076710-10-LP26</t>
        </is>
      </c>
      <c r="B40" s="19" t="inlineStr">
        <is>
          <t xml:space="preserve">SUMINISTRO OFICINALES Y MAGISTRALES POR 12 MESES </t>
        </is>
      </c>
      <c r="C40" s="17" t="n">
        <v>10</v>
      </c>
      <c r="D40" s="19" t="inlineStr">
        <is>
          <t>solo mencion de inmueble, sin servicio inmobiliario</t>
        </is>
      </c>
    </row>
    <row r="41">
      <c r="A41" s="17" t="inlineStr">
        <is>
          <t>1085111-23-O126</t>
        </is>
      </c>
      <c r="B41" s="19" t="inlineStr">
        <is>
          <t>CONSERVACIÓN TECHUMBRE EDIFICIO SERVIU ÑUBLE</t>
        </is>
      </c>
      <c r="C41" s="17" t="n">
        <v>8</v>
      </c>
      <c r="D41" s="19" t="inlineStr">
        <is>
          <t>solo mencion de inmueble, sin servicio inmobiliario</t>
        </is>
      </c>
    </row>
    <row r="42">
      <c r="A42" s="17" t="inlineStr">
        <is>
          <t>1096-15-O126</t>
        </is>
      </c>
      <c r="B42" s="19" t="inlineStr">
        <is>
          <t>ATIF HABILITACIÓN CALLE DE RODAJE ALFA Y OBRAS ANEXAS AEROPUERTO PUNTA AREN</t>
        </is>
      </c>
      <c r="C42" s="17" t="n">
        <v>0</v>
      </c>
      <c r="D42" s="19" t="inlineStr">
        <is>
          <t>score 0 &lt; 30</t>
        </is>
      </c>
    </row>
    <row r="43">
      <c r="A43" s="17" t="inlineStr">
        <is>
          <t>1106-22-LP26</t>
        </is>
      </c>
      <c r="B43" s="19" t="inlineStr">
        <is>
          <t>Serv Arriendo Eq para faenas de Colocacion asfalto</t>
        </is>
      </c>
      <c r="C43" s="17" t="n">
        <v>0</v>
      </c>
      <c r="D43" s="19" t="inlineStr">
        <is>
          <t>score 0 &lt; 30</t>
        </is>
      </c>
    </row>
    <row r="44">
      <c r="A44" s="17" t="inlineStr">
        <is>
          <t>1110404-205-LP26</t>
        </is>
      </c>
      <c r="B44" s="19" t="inlineStr">
        <is>
          <t>MANTENCIÓN SS.HH. Y COCINAS DE CASAS DE PROFESORES Y REPOSICION DE CUBICULOS SEPARADORES EN SS.HH. DEL ESTABLECIMIENTO LICEO GRANADEROS DE PUTRE PERTENECIENTE A SLEP DE CHINCHORRO</t>
        </is>
      </c>
      <c r="C44" s="17" t="n">
        <v>5</v>
      </c>
      <c r="D44" s="19" t="inlineStr">
        <is>
          <t>solo mencion de inmueble, sin servicio inmobiliario</t>
        </is>
      </c>
    </row>
    <row r="45">
      <c r="A45" s="17" t="inlineStr">
        <is>
          <t>1110404-208-L126</t>
        </is>
      </c>
      <c r="B45" s="19" t="inlineStr">
        <is>
          <t>ADQUISICION SALIDA A TERRENO PEDAGÓGICA PARA HUMBERSTONE - SANTA LAURA PARA EL 8 Y 9 DE OCTUBRE PARA 254 PERSONAS PERTENECIENTES AL CIEF, DEL SLEPCH, ARICA</t>
        </is>
      </c>
      <c r="C45" s="17" t="n">
        <v>9</v>
      </c>
      <c r="D45" s="19" t="inlineStr">
        <is>
          <t>solo mencion de inmueble, sin servicio inmobiliario</t>
        </is>
      </c>
    </row>
    <row r="46">
      <c r="A46" s="17" t="inlineStr">
        <is>
          <t>1126922-36-LP26</t>
        </is>
      </c>
      <c r="B46" s="19" t="inlineStr">
        <is>
          <t>CONTRATO SUMINISTRO MAT PEDAGOGICOS Y OFICINA</t>
        </is>
      </c>
      <c r="C46" s="17" t="n">
        <v>10</v>
      </c>
      <c r="D46" s="19" t="inlineStr">
        <is>
          <t>solo mencion de inmueble, sin servicio inmobiliario</t>
        </is>
      </c>
    </row>
    <row r="47">
      <c r="A47" s="17" t="inlineStr">
        <is>
          <t>1171317-10-LP26</t>
        </is>
      </c>
      <c r="B47" s="19" t="inlineStr">
        <is>
          <t xml:space="preserve">CONSTRUCCIÓN SEDE SOCIAL AGRUPACIÓN DE MOTOQUEROS CHILLÁN </t>
        </is>
      </c>
      <c r="C47" s="17" t="n">
        <v>8</v>
      </c>
      <c r="D47" s="19" t="inlineStr">
        <is>
          <t>solo mencion de inmueble, sin servicio inmobiliario</t>
        </is>
      </c>
    </row>
    <row r="48">
      <c r="A48" s="17" t="inlineStr">
        <is>
          <t>1175-74-LP26</t>
        </is>
      </c>
      <c r="B48" s="19" t="inlineStr">
        <is>
          <t>6026: “ARRIENDO DE EQUIPOS CRITICOS PARA EL SAMU SSAS”</t>
        </is>
      </c>
      <c r="C48" s="17" t="n">
        <v>0</v>
      </c>
      <c r="D48" s="19" t="inlineStr">
        <is>
          <t>score 0 &lt; 30</t>
        </is>
      </c>
    </row>
    <row r="49">
      <c r="A49" s="17" t="inlineStr">
        <is>
          <t>1180730-38-LE26</t>
        </is>
      </c>
      <c r="B49" s="19" t="inlineStr">
        <is>
          <t>BOLSOS DE TERRENO ESPECIALIDAD CESFAM 18</t>
        </is>
      </c>
      <c r="C49" s="17" t="n">
        <v>9</v>
      </c>
      <c r="D49" s="19" t="inlineStr">
        <is>
          <t>solo mencion de inmueble, sin servicio inmobiliario</t>
        </is>
      </c>
    </row>
    <row r="50">
      <c r="A50" s="17" t="inlineStr">
        <is>
          <t>1186229-28-LE26</t>
        </is>
      </c>
      <c r="B50" s="19" t="inlineStr">
        <is>
          <t>Ropa técnica de trabajo Unidad Atención en terreno</t>
        </is>
      </c>
      <c r="C50" s="17" t="n">
        <v>9</v>
      </c>
      <c r="D50" s="19" t="inlineStr">
        <is>
          <t>solo mencion de inmueble, sin servicio inmobiliario</t>
        </is>
      </c>
    </row>
    <row r="51">
      <c r="A51" s="17" t="inlineStr">
        <is>
          <t>1197-21-L126</t>
        </is>
      </c>
      <c r="B51" s="19" t="inlineStr">
        <is>
          <t>MANTENCIONES Y REPARACIONES MENORES OFICINA DR DE ATACAMA</t>
        </is>
      </c>
      <c r="C51" s="17" t="n">
        <v>10</v>
      </c>
      <c r="D51" s="19" t="inlineStr">
        <is>
          <t>solo mencion de inmueble, sin servicio inmobiliario</t>
        </is>
      </c>
    </row>
    <row r="52">
      <c r="A52" s="17" t="inlineStr">
        <is>
          <t>1208100-8-LP26</t>
        </is>
      </c>
      <c r="B52" s="19" t="inlineStr">
        <is>
          <t xml:space="preserve">SERVICIO DE TRANSPORTE Y TRASLADO DE PASAJEROS PARA LA UNIDAD DE EVALUACIÓN FORMATIVA PARA LA ADOPCIÓN Y EL ACOGIMIENTO UEFAA Y RESIDENCIA FAMILIAR DE ADOLESCENTES DE MACHALÍ </t>
        </is>
      </c>
      <c r="C52" s="17" t="n">
        <v>0</v>
      </c>
      <c r="D52" s="19" t="inlineStr">
        <is>
          <t>score 0 &lt; 30</t>
        </is>
      </c>
    </row>
    <row r="53">
      <c r="A53" s="17" t="inlineStr">
        <is>
          <t>1224953-26-LE26</t>
        </is>
      </c>
      <c r="B53" s="19" t="inlineStr">
        <is>
          <t>Rehabilitación oral mediante prótesis removibles</t>
        </is>
      </c>
      <c r="C53" s="17" t="n">
        <v>0</v>
      </c>
      <c r="D53" s="19" t="inlineStr">
        <is>
          <t>score 0 &lt; 30</t>
        </is>
      </c>
    </row>
    <row r="54">
      <c r="A54" s="17" t="inlineStr">
        <is>
          <t>1224957-60-LE26</t>
        </is>
      </c>
      <c r="B54" s="19" t="inlineStr">
        <is>
          <t>CONSERVACION DE RECINTOS EDUCACIONALE</t>
        </is>
      </c>
      <c r="C54" s="17" t="n">
        <v>5</v>
      </c>
      <c r="D54" s="19" t="inlineStr">
        <is>
          <t>solo mencion de inmueble, sin servicio inmobiliario</t>
        </is>
      </c>
    </row>
    <row r="55">
      <c r="A55" s="17" t="inlineStr">
        <is>
          <t>1237328-66-LE26</t>
        </is>
      </c>
      <c r="B55" s="19" t="inlineStr">
        <is>
          <t>MEJORAMIENTO Y HABILITACIÓN CESFAM CARLOS IBAÑEZ</t>
        </is>
      </c>
      <c r="C55" s="17" t="n">
        <v>8</v>
      </c>
      <c r="D55" s="19" t="inlineStr">
        <is>
          <t>score 8 &lt; 30</t>
        </is>
      </c>
    </row>
    <row r="56">
      <c r="A56" s="17" t="inlineStr">
        <is>
          <t>1247197-66-LP26</t>
        </is>
      </c>
      <c r="B56" s="19" t="inlineStr">
        <is>
          <t>SUMINISTRO DE PRODUCTOS DE OFICINA PARA LA CORESAM</t>
        </is>
      </c>
      <c r="C56" s="17" t="n">
        <v>10</v>
      </c>
      <c r="D56" s="19" t="inlineStr">
        <is>
          <t>solo mencion de inmueble, sin servicio inmobiliario</t>
        </is>
      </c>
    </row>
    <row r="57">
      <c r="A57" s="17" t="inlineStr">
        <is>
          <t>1247197-69-LE26</t>
        </is>
      </c>
      <c r="B57" s="19" t="inlineStr">
        <is>
          <t>HABILITACIÓN BOXES CECOSF ALBERTO BACHELET</t>
        </is>
      </c>
      <c r="C57" s="17" t="n">
        <v>8</v>
      </c>
      <c r="D57" s="19" t="inlineStr">
        <is>
          <t>score 8 &lt; 30</t>
        </is>
      </c>
    </row>
    <row r="58">
      <c r="A58" s="17" t="inlineStr">
        <is>
          <t>1271359-120-B226</t>
        </is>
      </c>
      <c r="B58" s="19" t="inlineStr">
        <is>
          <t>ARRIENDO MODULOS Y PASILLOS DE CIRCULACIÓN - C.BAUZA</t>
        </is>
      </c>
      <c r="C58" s="17" t="n">
        <v>14</v>
      </c>
      <c r="D58" s="19" t="inlineStr">
        <is>
          <t>score 14 &lt; 30</t>
        </is>
      </c>
    </row>
    <row r="59">
      <c r="A59" s="17" t="inlineStr">
        <is>
          <t>1274667-19-LE26</t>
        </is>
      </c>
      <c r="B59" s="19" t="inlineStr">
        <is>
          <t>JJA-PROYECTO HABILITACION SALA REHABILITACION NNA</t>
        </is>
      </c>
      <c r="C59" s="17" t="n">
        <v>0</v>
      </c>
      <c r="D59" s="19" t="inlineStr">
        <is>
          <t>score 0 &lt; 30</t>
        </is>
      </c>
    </row>
    <row r="60">
      <c r="A60" s="17" t="inlineStr">
        <is>
          <t>1298354-27-LE26</t>
        </is>
      </c>
      <c r="B60" s="19" t="inlineStr">
        <is>
          <t>Conservación y Habilitación Salas y Muros</t>
        </is>
      </c>
      <c r="C60" s="17" t="n">
        <v>0</v>
      </c>
      <c r="D60" s="19" t="inlineStr">
        <is>
          <t>score 0 &lt; 30</t>
        </is>
      </c>
    </row>
    <row r="61">
      <c r="A61" s="17" t="inlineStr">
        <is>
          <t>1298354-28-LE26</t>
        </is>
      </c>
      <c r="B61" s="19" t="inlineStr">
        <is>
          <t>Suministro de Servicios de Traslados</t>
        </is>
      </c>
      <c r="C61" s="17" t="n">
        <v>6</v>
      </c>
      <c r="D61" s="19" t="inlineStr">
        <is>
          <t>score 6 &lt; 30</t>
        </is>
      </c>
    </row>
    <row r="62">
      <c r="A62" s="17" t="inlineStr">
        <is>
          <t>1346284-10-LE26</t>
        </is>
      </c>
      <c r="B62" s="19" t="inlineStr">
        <is>
          <t>ADQUISICIÓN CONTEINER PLEGABLE TRASLADO Y MONTAJE</t>
        </is>
      </c>
      <c r="C62" s="17" t="n">
        <v>6</v>
      </c>
      <c r="D62" s="19" t="inlineStr">
        <is>
          <t>score 6 &lt; 30</t>
        </is>
      </c>
    </row>
    <row r="63">
      <c r="A63" s="17" t="inlineStr">
        <is>
          <t>1346284-11-LE26</t>
        </is>
      </c>
      <c r="B63" s="19" t="inlineStr">
        <is>
          <t>ADQUISICIÓN CONTEINER PLEGABLE TRASLADO Y MONTAJE</t>
        </is>
      </c>
      <c r="C63" s="17" t="n">
        <v>6</v>
      </c>
      <c r="D63" s="19" t="inlineStr">
        <is>
          <t>score 6 &lt; 30</t>
        </is>
      </c>
    </row>
    <row r="64">
      <c r="A64" s="17" t="inlineStr">
        <is>
          <t>1348-5-LP26</t>
        </is>
      </c>
      <c r="B64" s="19" t="inlineStr">
        <is>
          <t>HABILITACIÓN OFICINA REGISTRO CIVIL PURRANQUE</t>
        </is>
      </c>
      <c r="C64" s="17" t="n">
        <v>16</v>
      </c>
      <c r="D64" s="19" t="inlineStr">
        <is>
          <t>score 16 &lt; 30</t>
        </is>
      </c>
    </row>
    <row r="65">
      <c r="A65" s="17" t="inlineStr">
        <is>
          <t>1351-6-LP26</t>
        </is>
      </c>
      <c r="B65" s="19" t="inlineStr">
        <is>
          <t>SERVICIO HABILITACIÓN DE OFICINA QUILPUÉ</t>
        </is>
      </c>
      <c r="C65" s="17" t="n">
        <v>16</v>
      </c>
      <c r="D65" s="19" t="inlineStr">
        <is>
          <t>score 16 &lt; 30</t>
        </is>
      </c>
    </row>
    <row r="66">
      <c r="A66" s="17" t="inlineStr">
        <is>
          <t>1360-10-LE26</t>
        </is>
      </c>
      <c r="B66" s="19" t="inlineStr">
        <is>
          <t>CONTRATACIÓN DEL SERVICIO DE CONSTRUCCIÓN DE CIERRE PERIMETRAL CON ILUMINACIÓN LED DE INSTALACIÓN DE FAENAS PARA OFICINA DE PUENTE ALTO DE LA DIRECCIÓN REGIÓN METROPOLITANA</t>
        </is>
      </c>
      <c r="C66" s="17" t="n">
        <v>10</v>
      </c>
      <c r="D66" s="19" t="inlineStr">
        <is>
          <t>solo mencion de inmueble, sin servicio inmobiliario</t>
        </is>
      </c>
    </row>
    <row r="67">
      <c r="A67" s="17" t="inlineStr">
        <is>
          <t>1374899-36-LP26</t>
        </is>
      </c>
      <c r="B67" s="19" t="inlineStr">
        <is>
          <t>CONVENIO DE SUMINISTRO DE FÁRMACO PROPOFOL CON BOMBAS DE INFUSIÓN TIVATCI EN COMODATO</t>
        </is>
      </c>
      <c r="C67" s="17" t="n">
        <v>0</v>
      </c>
      <c r="D67" s="19" t="inlineStr">
        <is>
          <t>score 0 &lt; 30</t>
        </is>
      </c>
    </row>
    <row r="68">
      <c r="A68" s="17" t="inlineStr">
        <is>
          <t>1375158-7-LP26</t>
        </is>
      </c>
      <c r="B68" s="19" t="inlineStr">
        <is>
          <t>ADQUISICIÓN DE VEINTICUATRO 24 SIERRAS DE AUTOPSIA Y UN 01 PACK EQUIPOS DE REFRIGERACIÓNCONGELACIÓN PARA DEPARTAMENTO DE TANATOLOGÍA DEL NUEVO EDIFICIO INSTITUCIONAL DEL SERVICIO MÉDICO LEGAL DE SANTIAGO</t>
        </is>
      </c>
      <c r="C68" s="17" t="n">
        <v>8</v>
      </c>
      <c r="D68" s="19" t="inlineStr">
        <is>
          <t>solo mencion de inmueble, sin servicio inmobiliario</t>
        </is>
      </c>
    </row>
    <row r="69">
      <c r="A69" s="17" t="inlineStr">
        <is>
          <t>1375746-15-LE26</t>
        </is>
      </c>
      <c r="B69" s="19" t="inlineStr">
        <is>
          <t>SERVICIO DE HABILITACIÓN KITCHENETTE Y RECEPCIÓN CASONA DEL SLEP DEL ACONCAGUA</t>
        </is>
      </c>
      <c r="C69" s="17" t="n">
        <v>0</v>
      </c>
      <c r="D69" s="19" t="inlineStr">
        <is>
          <t>score 0 &lt; 30</t>
        </is>
      </c>
    </row>
    <row r="70">
      <c r="A70" s="17" t="inlineStr">
        <is>
          <t>1375746-19-LE26</t>
        </is>
      </c>
      <c r="B70" s="19" t="inlineStr">
        <is>
          <t>IMPLEMENTACIÓN Y HABILITACIÓN DE OFICINAS</t>
        </is>
      </c>
      <c r="C70" s="17" t="n">
        <v>16</v>
      </c>
      <c r="D70" s="19" t="inlineStr">
        <is>
          <t>score 16 &lt; 30</t>
        </is>
      </c>
    </row>
    <row r="71">
      <c r="A71" s="17" t="inlineStr">
        <is>
          <t>1377-1-LE26</t>
        </is>
      </c>
      <c r="B71" s="19" t="inlineStr">
        <is>
          <t>SERVICIO DE OOMM PARA OFICINAS DEL CDPR BIOBIO</t>
        </is>
      </c>
      <c r="C71" s="17" t="n">
        <v>10</v>
      </c>
      <c r="D71" s="19" t="inlineStr">
        <is>
          <t>solo mencion de inmueble, sin servicio inmobiliario</t>
        </is>
      </c>
    </row>
    <row r="72">
      <c r="A72" s="17" t="inlineStr">
        <is>
          <t>1388961-48-LE26</t>
        </is>
      </c>
      <c r="B72" s="19" t="inlineStr">
        <is>
          <t>Remodelación de Oficinas AMSZO.</t>
        </is>
      </c>
      <c r="C72" s="17" t="n">
        <v>10</v>
      </c>
      <c r="D72" s="19" t="inlineStr">
        <is>
          <t>solo mencion de inmueble, sin servicio inmobiliario</t>
        </is>
      </c>
    </row>
    <row r="73">
      <c r="A73" s="17" t="inlineStr">
        <is>
          <t>1417913-119-LE26</t>
        </is>
      </c>
      <c r="B73" s="19" t="inlineStr">
        <is>
          <t>ADQUISICIÓN DE EQUIPAMIENTO PARA LA EJECUCIÓN Y FORTALECIMIENTO DE PROGRAMAS DEL DEPARTAMENTO DE SALUD DE CORMUDESI</t>
        </is>
      </c>
      <c r="C73" s="17" t="n">
        <v>5</v>
      </c>
      <c r="D73" s="19" t="inlineStr">
        <is>
          <t>solo mencion de inmueble, sin servicio inmobiliario</t>
        </is>
      </c>
    </row>
    <row r="74">
      <c r="A74" s="17" t="inlineStr">
        <is>
          <t>1417913-129-LP26</t>
        </is>
      </c>
      <c r="B74" s="19" t="inlineStr">
        <is>
          <t>CONVENIO DE SUMINISTRO PARA LA PROVISIÓN INSTALACIÓN MANTENCIÓN Y REPARACIÓN DE AIRES ACONDICIONADOS PARA DEPENDENCIAS DE CORMUDESI POR 24 MESES</t>
        </is>
      </c>
      <c r="C74" s="17" t="n">
        <v>8</v>
      </c>
      <c r="D74" s="19" t="inlineStr">
        <is>
          <t>solo mencion de inmueble, sin servicio inmobiliario</t>
        </is>
      </c>
    </row>
    <row r="75">
      <c r="A75" s="17" t="inlineStr">
        <is>
          <t>1422824-10-LE26</t>
        </is>
      </c>
      <c r="B75" s="19" t="inlineStr">
        <is>
          <t>CONTRATO DE SUMINISTRO DE CINTAS PARA PRUEBA DEL BIOSENSOR DE CREATININA CON EQUIPO EN COMODATO PARA LA UNIDAD DE IMAGENOLOGÍA COMPLEJA DEL HOSPITAL CARLOS VAN BUREN</t>
        </is>
      </c>
      <c r="C75" s="17" t="n">
        <v>0</v>
      </c>
      <c r="D75" s="19" t="inlineStr">
        <is>
          <t>score 0 &lt; 30</t>
        </is>
      </c>
    </row>
    <row r="76">
      <c r="A76" s="17" t="inlineStr">
        <is>
          <t>1431841-56-LP26</t>
        </is>
      </c>
      <c r="B76" s="19" t="inlineStr">
        <is>
          <t>Habilitación Sala de Monitoreo y Punto de Cámaras</t>
        </is>
      </c>
      <c r="C76" s="17" t="n">
        <v>8</v>
      </c>
      <c r="D76" s="19" t="inlineStr">
        <is>
          <t>score 8 &lt; 30</t>
        </is>
      </c>
    </row>
    <row r="77">
      <c r="A77" s="17" t="inlineStr">
        <is>
          <t>1469-224-L126</t>
        </is>
      </c>
      <c r="B77" s="19" t="inlineStr">
        <is>
          <t>ARRIENDO DE TÓTEMS INTERACTIVOS PARA PROYECTO MUNDOS INFINITOS CP25-E05, UNIVERSIDAD DE TALCA</t>
        </is>
      </c>
      <c r="C77" s="17" t="n">
        <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s="19" t="inlineStr">
        <is>
          <t>Habilitación ODL Talagante CAJ R.M.</t>
        </is>
      </c>
      <c r="C78" s="17" t="n">
        <v>11</v>
      </c>
      <c r="D78" s="19" t="inlineStr">
        <is>
          <t>score 11 &lt; 30</t>
        </is>
      </c>
    </row>
    <row r="79">
      <c r="A79" s="17" t="inlineStr">
        <is>
          <t>1483330-1-LP26</t>
        </is>
      </c>
      <c r="B79" s="19" t="inlineStr">
        <is>
          <t>SERVICIO DE ARRIENDO IMPLEMENTACIÓN Y MANTENCIÓN</t>
        </is>
      </c>
      <c r="C79" s="17" t="n">
        <v>0</v>
      </c>
      <c r="D79" s="19" t="inlineStr">
        <is>
          <t>score 0 &lt; 30</t>
        </is>
      </c>
    </row>
    <row r="80">
      <c r="A80" s="17" t="inlineStr">
        <is>
          <t>1533460-6-LP26</t>
        </is>
      </c>
      <c r="B80" s="19" t="inlineStr">
        <is>
          <t>SERVICIO DE ARRIENDO DE SISTEMA INFORMÁTICO FINANCIERO CONTABLE Y RECURSOS HUMANOS</t>
        </is>
      </c>
      <c r="C80" s="17" t="n">
        <v>0</v>
      </c>
      <c r="D80" s="19" t="inlineStr">
        <is>
          <t>score 0 &lt; 30</t>
        </is>
      </c>
    </row>
    <row r="81">
      <c r="A81" s="17" t="inlineStr">
        <is>
          <t>1540667-6-LR26</t>
        </is>
      </c>
      <c r="B81" s="19" t="inlineStr">
        <is>
          <t>OBRA REMODELACIÓN SERV MED FÍSICA Y REHABILITACIÓN</t>
        </is>
      </c>
      <c r="C81" s="17" t="n">
        <v>0</v>
      </c>
      <c r="D81" s="19" t="inlineStr">
        <is>
          <t>score 0 &lt; 30</t>
        </is>
      </c>
    </row>
    <row r="82">
      <c r="A82" s="17" t="inlineStr">
        <is>
          <t>1549-70-LR26</t>
        </is>
      </c>
      <c r="B82" s="19" t="inlineStr">
        <is>
          <t>ARRIENDO DE 07 MAQUINAS DE ANESTESIA</t>
        </is>
      </c>
      <c r="C82" s="17" t="n">
        <v>0</v>
      </c>
      <c r="D82" s="19" t="inlineStr">
        <is>
          <t>score 0 &lt; 30</t>
        </is>
      </c>
    </row>
    <row r="83">
      <c r="A83" s="17" t="inlineStr">
        <is>
          <t>1549-90-LP26</t>
        </is>
      </c>
      <c r="B83" s="19" t="inlineStr">
        <is>
          <t>ARRIENDO DE 14 SILLONES DE HEMODIÁLISIS</t>
        </is>
      </c>
      <c r="C83" s="17" t="n">
        <v>0</v>
      </c>
      <c r="D83" s="19" t="inlineStr">
        <is>
          <t>score 0 &lt; 30</t>
        </is>
      </c>
    </row>
    <row r="84">
      <c r="A84" s="17" t="inlineStr">
        <is>
          <t>1549-92-LP26</t>
        </is>
      </c>
      <c r="B84" s="19" t="inlineStr">
        <is>
          <t>HABILITACIÓN UNIDAD DE HOSPITALIZACIÓN DOMICILIARI</t>
        </is>
      </c>
      <c r="C84" s="17" t="n">
        <v>0</v>
      </c>
      <c r="D84" s="19" t="inlineStr">
        <is>
          <t>score 0 &lt; 30</t>
        </is>
      </c>
    </row>
    <row r="85">
      <c r="A85" s="17" t="inlineStr">
        <is>
          <t>1555-75-LP26</t>
        </is>
      </c>
      <c r="B85" s="19" t="inlineStr">
        <is>
          <t>CORTADOR QUIRURGICO DE VELLO Y COMODATO DE RASURAD</t>
        </is>
      </c>
      <c r="C85" s="17" t="n">
        <v>0</v>
      </c>
      <c r="D85" s="19" t="inlineStr">
        <is>
          <t>score 0 &lt; 30</t>
        </is>
      </c>
    </row>
    <row r="86">
      <c r="A86" s="17" t="inlineStr">
        <is>
          <t>1562-60-LR26</t>
        </is>
      </c>
      <c r="B86" s="19" t="inlineStr">
        <is>
          <t>ARRIENDO INFRAESTRUCTURA DE PROCESAMIENTO Y ALMACE</t>
        </is>
      </c>
      <c r="C86" s="17" t="n">
        <v>12</v>
      </c>
      <c r="D86" s="19" t="inlineStr">
        <is>
          <t>score 12 &lt; 30</t>
        </is>
      </c>
    </row>
    <row r="87">
      <c r="A87" s="17" t="inlineStr">
        <is>
          <t>1574-33-LP26</t>
        </is>
      </c>
      <c r="B87" s="19" t="inlineStr">
        <is>
          <t>SCHEE - CONTRATO SUMINISTRO MANTENCION J.I. Y OFICINAS PROVINCIA DE ELQUI ZONA 1</t>
        </is>
      </c>
      <c r="C87" s="17" t="n">
        <v>10</v>
      </c>
      <c r="D87" s="19" t="inlineStr">
        <is>
          <t>solo mencion de inmueble, sin servicio inmobiliario</t>
        </is>
      </c>
    </row>
    <row r="88">
      <c r="A88" s="17" t="inlineStr">
        <is>
          <t>1574-34-LE26</t>
        </is>
      </c>
      <c r="B88" s="19" t="inlineStr">
        <is>
          <t>CHEE MANT. EMERGENCIA ELQUI REG. COQUIMBO J.I. Y OFICINAS - SC 61183</t>
        </is>
      </c>
      <c r="C88" s="17" t="n">
        <v>10</v>
      </c>
      <c r="D88" s="19" t="inlineStr">
        <is>
          <t>solo mencion de inmueble, sin servicio inmobiliario</t>
        </is>
      </c>
    </row>
    <row r="89">
      <c r="A89" s="17" t="inlineStr">
        <is>
          <t>1574-35-LP26</t>
        </is>
      </c>
      <c r="B89" s="19" t="inlineStr">
        <is>
          <t>SCHEE - CONTRATO SUMINISTRO MANTENCION J.I. Y OFICINAS PROVINCIA DE ELQUI ZONA 2</t>
        </is>
      </c>
      <c r="C89" s="17" t="n">
        <v>10</v>
      </c>
      <c r="D89" s="19" t="inlineStr">
        <is>
          <t>solo mencion de inmueble, sin servicio inmobiliario</t>
        </is>
      </c>
    </row>
    <row r="90">
      <c r="A90" s="17" t="inlineStr">
        <is>
          <t>1576-17-LP26</t>
        </is>
      </c>
      <c r="B90" s="19" t="inlineStr">
        <is>
          <t>SUMINISTRO POR EL SERVICIO DE MANTENCION Y REPARACIONES DE JARDINES INFANTILES Y SALAS CUNAS OFICINAS Y BODEGAS DE LA JUNTA NACIONAL DE JARDINES INFANTILES REGION DEL BIOBIO</t>
        </is>
      </c>
      <c r="C90" s="17" t="n">
        <v>10</v>
      </c>
      <c r="D90" s="19" t="inlineStr">
        <is>
          <t>solo mencion de inmueble, sin servicio inmobiliario</t>
        </is>
      </c>
    </row>
    <row r="91">
      <c r="A91" s="17" t="inlineStr">
        <is>
          <t>1596-50-LP26</t>
        </is>
      </c>
      <c r="B91" s="19" t="inlineStr">
        <is>
          <t>PANTALLA LED PARA EL EDIFICIO DEL GORE MAULE</t>
        </is>
      </c>
      <c r="C91" s="17" t="n">
        <v>8</v>
      </c>
      <c r="D91" s="19" t="inlineStr">
        <is>
          <t>solo mencion de inmueble, sin servicio inmobiliario</t>
        </is>
      </c>
    </row>
    <row r="92">
      <c r="A92" s="17" t="inlineStr">
        <is>
          <t>1602-18-LE26</t>
        </is>
      </c>
      <c r="B92" s="19" t="inlineStr">
        <is>
          <t>Servicio de Arriendo de 34 Máquinas Dispensadoras de Agua 113 dgv</t>
        </is>
      </c>
      <c r="C92" s="17" t="n">
        <v>16</v>
      </c>
      <c r="D92" s="19" t="inlineStr">
        <is>
          <t>score 16 &lt; 30</t>
        </is>
      </c>
    </row>
    <row r="93">
      <c r="A93" s="17" t="inlineStr">
        <is>
          <t>1638-91-LE26</t>
        </is>
      </c>
      <c r="B93" s="19" t="inlineStr">
        <is>
          <t>MEJORAMIENTO ACCESO SEDE CENTRO ESTACION DIEGO DE ALMAGRO SM 1245</t>
        </is>
      </c>
      <c r="C93" s="17" t="n">
        <v>8</v>
      </c>
      <c r="D93" s="19" t="inlineStr">
        <is>
          <t>solo mencion de inmueble, sin servicio inmobiliario</t>
        </is>
      </c>
    </row>
    <row r="94">
      <c r="A94" s="17" t="inlineStr">
        <is>
          <t>1663-145-LE26</t>
        </is>
      </c>
      <c r="B94" s="19" t="inlineStr">
        <is>
          <t>ARRIENDO CUNA DE PROCEDIMIENTO</t>
        </is>
      </c>
      <c r="C94" s="17" t="n">
        <v>0</v>
      </c>
      <c r="D94" s="19" t="inlineStr">
        <is>
          <t>score 0 &lt; 30</t>
        </is>
      </c>
    </row>
    <row r="95">
      <c r="A95" s="17" t="inlineStr">
        <is>
          <t>1735-50-LE26</t>
        </is>
      </c>
      <c r="B95" s="19" t="inlineStr">
        <is>
          <t>HABILITACION CEFAM DE CONTINGENCIA 3ra. ETAPA TUB</t>
        </is>
      </c>
      <c r="C95" s="17" t="n">
        <v>0</v>
      </c>
      <c r="D95" s="19" t="inlineStr">
        <is>
          <t>score 0 &lt; 30</t>
        </is>
      </c>
    </row>
    <row r="96">
      <c r="A96" s="17" t="inlineStr">
        <is>
          <t>1743-69-LP26</t>
        </is>
      </c>
      <c r="B96" s="19" t="inlineStr">
        <is>
          <t>Construcción Sede Social Manquehua</t>
        </is>
      </c>
      <c r="C96" s="17" t="n">
        <v>8</v>
      </c>
      <c r="D96" s="19" t="inlineStr">
        <is>
          <t>solo mencion de inmueble, sin servicio inmobiliario</t>
        </is>
      </c>
    </row>
    <row r="97">
      <c r="A97" s="17" t="inlineStr">
        <is>
          <t>1754-45-LE26</t>
        </is>
      </c>
      <c r="B97" s="19" t="inlineStr">
        <is>
          <t>OFICINA TIMBRES DIDÁCTICO MENAJE Y PILAS</t>
        </is>
      </c>
      <c r="C97" s="17" t="n">
        <v>10</v>
      </c>
      <c r="D97" s="19" t="inlineStr">
        <is>
          <t>solo mencion de inmueble, sin servicio inmobiliario</t>
        </is>
      </c>
    </row>
    <row r="98">
      <c r="A98" s="17" t="inlineStr">
        <is>
          <t>1947-113-LR26</t>
        </is>
      </c>
      <c r="B98" s="19" t="inlineStr">
        <is>
          <t>CONTRATACIÓN DEL SERVICIO DE NUTRICIONES PARENTERALES DE DIFERENTES VOLÚMENES CON BAJADAS DE BOMBA DE INFUSIÓN Y EQUIPOS EN COMODATO PARA EL HOSPITAL ROBERTO DEL RÍO CFO</t>
        </is>
      </c>
      <c r="C98" s="17" t="n">
        <v>0</v>
      </c>
      <c r="D98" s="19" t="inlineStr">
        <is>
          <t>score 0 &lt; 30</t>
        </is>
      </c>
    </row>
    <row r="99">
      <c r="A99" s="17" t="inlineStr">
        <is>
          <t>1979-192-LE26</t>
        </is>
      </c>
      <c r="B99" s="19" t="inlineStr">
        <is>
          <t>175.26 “ARRIENDO DE EQUIPOS PARA PABELLÓN GINECOLOGICO PARA NODO COSTERO: HOSPITAL NVA IMPERIAL.”</t>
        </is>
      </c>
      <c r="C99" s="17" t="n">
        <v>0</v>
      </c>
      <c r="D99" s="19" t="inlineStr">
        <is>
          <t>score 0 &lt; 30</t>
        </is>
      </c>
    </row>
    <row r="100">
      <c r="A100" s="17" t="inlineStr">
        <is>
          <t>1979-196-LP26</t>
        </is>
      </c>
      <c r="B100" s="19" t="inlineStr">
        <is>
          <t>195.26 “ARRIENDO DE CATRES CLÍNICOS PARA VARIOS SERVICIO DE CLÍNICOS DEL NODO COSTERO: HOSPITAL NVA IMPERIAL.”</t>
        </is>
      </c>
      <c r="C100" s="17" t="n">
        <v>0</v>
      </c>
      <c r="D100" s="19" t="inlineStr">
        <is>
          <t>score 0 &lt; 30</t>
        </is>
      </c>
    </row>
    <row r="101">
      <c r="A101" s="17" t="inlineStr">
        <is>
          <t>1987-5-LE26</t>
        </is>
      </c>
      <c r="B101" s="19" t="inlineStr">
        <is>
          <t>LP ARRIENDO UNID. MODULARES CONTAO RES EX LAGOS 805-2026 17.09.26 I. 22.09.001</t>
        </is>
      </c>
      <c r="C101" s="17" t="n">
        <v>17</v>
      </c>
      <c r="D101" s="19" t="inlineStr">
        <is>
          <t>score 17 &lt; 30</t>
        </is>
      </c>
    </row>
    <row r="102">
      <c r="A102" s="17" t="inlineStr">
        <is>
          <t>2048-73-LP26</t>
        </is>
      </c>
      <c r="B102" s="19" t="inlineStr">
        <is>
          <t>Servicio de traslado para pacientes H.A.</t>
        </is>
      </c>
      <c r="C102" s="17" t="n">
        <v>0</v>
      </c>
      <c r="D102" s="19" t="inlineStr">
        <is>
          <t>score 0 &lt; 30</t>
        </is>
      </c>
    </row>
    <row r="103">
      <c r="A103" s="17" t="inlineStr">
        <is>
          <t>2055-12-LE26</t>
        </is>
      </c>
      <c r="B103" s="19" t="inlineStr">
        <is>
          <t>Provisión e instalación de bodega Respel</t>
        </is>
      </c>
      <c r="C103" s="17" t="n">
        <v>7</v>
      </c>
      <c r="D103" s="19" t="inlineStr">
        <is>
          <t>solo mencion de inmueble, sin servicio inmobiliario</t>
        </is>
      </c>
    </row>
    <row r="104">
      <c r="A104" s="17" t="inlineStr">
        <is>
          <t>2078-42-LE26</t>
        </is>
      </c>
      <c r="B104" s="19" t="inlineStr">
        <is>
          <t>SERVICIOS DE MANTENCION Y REPARACIÓN DE LAS DEPENDENCIAS DEL LABORATORIO Y LA DVI DE LOS ÁNGELES SC360</t>
        </is>
      </c>
      <c r="C104" s="17" t="n">
        <v>8</v>
      </c>
      <c r="D104" s="19" t="inlineStr">
        <is>
          <t>solo mencion de inmueble, sin servicio inmobiliario</t>
        </is>
      </c>
    </row>
    <row r="105">
      <c r="A105" s="17" t="inlineStr">
        <is>
          <t>2078-43-LE26</t>
        </is>
      </c>
      <c r="B105" s="19" t="inlineStr">
        <is>
          <t>MEJORAMIENTO DE INFRAESTRUCTURA Y SEGURIDAD OFICINA TIC OF. CENTRAL SC385</t>
        </is>
      </c>
      <c r="C105" s="17" t="n">
        <v>10</v>
      </c>
      <c r="D105" s="19" t="inlineStr">
        <is>
          <t>solo mencion de inmueble, sin servicio inmobiliario</t>
        </is>
      </c>
    </row>
    <row r="106">
      <c r="A106" s="17" t="inlineStr">
        <is>
          <t>2098-147-LE26</t>
        </is>
      </c>
      <c r="B106" s="19" t="inlineStr">
        <is>
          <t>MODIFICACION REPARACION Y HABILITACION DE ESPACIOS SERVICIO DE KINESIOLOGIA</t>
        </is>
      </c>
      <c r="C106" s="17" t="n">
        <v>0</v>
      </c>
      <c r="D106" s="19" t="inlineStr">
        <is>
          <t>score 0 &lt; 30</t>
        </is>
      </c>
    </row>
    <row r="107">
      <c r="A107" s="17" t="inlineStr">
        <is>
          <t>2107-153-LP26</t>
        </is>
      </c>
      <c r="B107" s="19" t="inlineStr">
        <is>
          <t>ARRIENDO DE INFRAESTRUCTURA FÍSICA ENTERPRISE PARA PLATAFORMA TECNOLÓGICA INSTITUCIONAL</t>
        </is>
      </c>
      <c r="C107" s="17" t="n">
        <v>0</v>
      </c>
      <c r="D107" s="19" t="inlineStr">
        <is>
          <t>score 0 &lt; 30</t>
        </is>
      </c>
    </row>
    <row r="108">
      <c r="A108" s="17" t="inlineStr">
        <is>
          <t>2111-282-LP26</t>
        </is>
      </c>
      <c r="B108" s="19" t="inlineStr">
        <is>
          <t>FRESAS NEUROCIRUGÍA Y COLUMNA EQUIPO COMODATO III</t>
        </is>
      </c>
      <c r="C108" s="17" t="n">
        <v>0</v>
      </c>
      <c r="D108" s="19" t="inlineStr">
        <is>
          <t>score 0 &lt; 30</t>
        </is>
      </c>
    </row>
    <row r="109">
      <c r="A109" s="17" t="inlineStr">
        <is>
          <t>2126-139-LR26</t>
        </is>
      </c>
      <c r="B109" s="19" t="inlineStr">
        <is>
          <t>Convenio de Suministro de Hemodiálisis con Arriendo de Equipamiento para el Hospital San Pablo de Coquimbo</t>
        </is>
      </c>
      <c r="C109" s="17" t="n">
        <v>0</v>
      </c>
      <c r="D109" s="19" t="inlineStr">
        <is>
          <t>score 0 &lt; 30</t>
        </is>
      </c>
    </row>
    <row r="110">
      <c r="A110" s="17" t="inlineStr">
        <is>
          <t>2179-14-LE26</t>
        </is>
      </c>
      <c r="B110" s="19" t="inlineStr">
        <is>
          <t>CONV. DE PRECIOS SERV. DE TRASLADO PERSONAL TEMUCO</t>
        </is>
      </c>
      <c r="C110" s="17" t="n">
        <v>9</v>
      </c>
      <c r="D110" s="19" t="inlineStr">
        <is>
          <t>score 9 &lt; 30</t>
        </is>
      </c>
    </row>
    <row r="111">
      <c r="A111" s="17" t="inlineStr">
        <is>
          <t>2258-210-LR26</t>
        </is>
      </c>
      <c r="B111" s="19" t="inlineStr">
        <is>
          <t>TEST MOLECULARES CON ENTREGA DE EQUIPOS EN COMODATO PARA LA UNIDAD DE LABORATORIO CLÍNICO</t>
        </is>
      </c>
      <c r="C111" s="17" t="n">
        <v>0</v>
      </c>
      <c r="D111" s="19" t="inlineStr">
        <is>
          <t>score 0 &lt; 30</t>
        </is>
      </c>
    </row>
    <row r="112">
      <c r="A112" s="17" t="inlineStr">
        <is>
          <t>2273-58-LE26</t>
        </is>
      </c>
      <c r="B112" s="19" t="inlineStr">
        <is>
          <t>REHABILITACIÓN SKATE PARK LO MARTÍNEZ</t>
        </is>
      </c>
      <c r="C112" s="17" t="n">
        <v>0</v>
      </c>
      <c r="D112" s="19" t="inlineStr">
        <is>
          <t>score 0 &lt; 30</t>
        </is>
      </c>
    </row>
    <row r="113">
      <c r="A113" s="17" t="inlineStr">
        <is>
          <t>2295-98-LP26</t>
        </is>
      </c>
      <c r="B113" s="19" t="inlineStr">
        <is>
          <t>CONVENIO DE SUMINISTRO DE AUDIFONOS PARA EL PROGRAMA DE RESOLUTIVIDAD UAPORRINO DEPARTAMENTO DE SALUD TALCA</t>
        </is>
      </c>
      <c r="C113" s="17" t="n">
        <v>5</v>
      </c>
      <c r="D113" s="19" t="inlineStr">
        <is>
          <t>solo mencion de inmueble, sin servicio inmobiliario</t>
        </is>
      </c>
    </row>
    <row r="114">
      <c r="A114" s="17" t="inlineStr">
        <is>
          <t>2306-32-LE26</t>
        </is>
      </c>
      <c r="B114" s="19" t="inlineStr">
        <is>
          <t>HABILITACION SALA DE MUSICA LICEO RAHUE OSORNO</t>
        </is>
      </c>
      <c r="C114" s="17" t="n">
        <v>0</v>
      </c>
      <c r="D114" s="19" t="inlineStr">
        <is>
          <t>score 0 &lt; 30</t>
        </is>
      </c>
    </row>
    <row r="115">
      <c r="A115" s="17" t="inlineStr">
        <is>
          <t>2319-20-LE26</t>
        </is>
      </c>
      <c r="B115" s="19" t="inlineStr">
        <is>
          <t>NORMALIZACIÓN DEPENDENCIAS</t>
        </is>
      </c>
      <c r="C115" s="17" t="n">
        <v>8</v>
      </c>
      <c r="D115" s="19" t="inlineStr">
        <is>
          <t>solo mencion de inmueble, sin servicio inmobiliario</t>
        </is>
      </c>
    </row>
    <row r="116">
      <c r="A116" s="17" t="inlineStr">
        <is>
          <t>2322-90-LR26</t>
        </is>
      </c>
      <c r="B116" s="19" t="inlineStr">
        <is>
          <t xml:space="preserve">Ampliación y Mejoramiento de Sede y Multicancha  Sector Las Terrazas </t>
        </is>
      </c>
      <c r="C116" s="17" t="n">
        <v>8</v>
      </c>
      <c r="D116" s="19" t="inlineStr">
        <is>
          <t>solo mencion de inmueble, sin servicio inmobiliario</t>
        </is>
      </c>
    </row>
    <row r="117">
      <c r="A117" s="17" t="inlineStr">
        <is>
          <t>2324-115-LE26</t>
        </is>
      </c>
      <c r="B117" s="19" t="inlineStr">
        <is>
          <t>LICITACIÓN PÚBLICA N° 96 2026 SERVICIO PLAN DE MANTENCIÓN SISTEMA DE CALEFACCIÓN Y SISTEMA DE RED DE INCENDIO CASA PAULY – DIRECCIÓN DE OPERACIONES</t>
        </is>
      </c>
      <c r="C117" s="17" t="n">
        <v>5</v>
      </c>
      <c r="D117" s="19" t="inlineStr">
        <is>
          <t>solo mencion de inmueble, sin servicio inmobiliario</t>
        </is>
      </c>
    </row>
    <row r="118">
      <c r="A118" s="17" t="inlineStr">
        <is>
          <t>2342-36-LR26</t>
        </is>
      </c>
      <c r="B118" s="19" t="inlineStr">
        <is>
          <t>CONCESIÓN DE ESTACIONAMIENTOS EN CALLES DE LA ZONA CENTRO DE LA COMUNA DE SAN BERNARDO APLICANDO SISTEMA DE CONTROL DE TIEMPO DE USO CAPTADORES DE DATOS</t>
        </is>
      </c>
      <c r="C118" s="17" t="n">
        <v>5</v>
      </c>
      <c r="D118" s="19" t="inlineStr">
        <is>
          <t>solo mencion de inmueble, sin servicio inmobiliario</t>
        </is>
      </c>
    </row>
    <row r="119">
      <c r="A119" s="17" t="inlineStr">
        <is>
          <t>2343-31-LE26</t>
        </is>
      </c>
      <c r="B119" s="19" t="inlineStr">
        <is>
          <t>REMODELACION DE OFICINAS EN PARQUE O´HIGGINS</t>
        </is>
      </c>
      <c r="C119" s="17" t="n">
        <v>10</v>
      </c>
      <c r="D119" s="19" t="inlineStr">
        <is>
          <t>solo mencion de inmueble, sin servicio inmobiliario</t>
        </is>
      </c>
    </row>
    <row r="120">
      <c r="A120" s="17" t="inlineStr">
        <is>
          <t>2345-117-LP26</t>
        </is>
      </c>
      <c r="B120" s="19" t="inlineStr">
        <is>
          <t>ARRIENDO Y MANTENCIÓN DE EQUIPOS PSICOTÉCNICOS Y SENSOMÉTRICOS PARA LA MUNICIPALIDAD DE LAS CONDES</t>
        </is>
      </c>
      <c r="C120" s="17" t="n">
        <v>14</v>
      </c>
      <c r="D120" s="19" t="inlineStr">
        <is>
          <t>score 14 &lt; 30</t>
        </is>
      </c>
    </row>
    <row r="121">
      <c r="A121" s="17" t="inlineStr">
        <is>
          <t>2345-139-LR26</t>
        </is>
      </c>
      <c r="B121" s="19" t="inlineStr">
        <is>
          <t>Mantención Preventiva y Correctiva Reparaciones Mejoras y Urgencias de los Sistemas Eléctricos en los Inmuebles</t>
        </is>
      </c>
      <c r="C121" s="17" t="n">
        <v>14</v>
      </c>
      <c r="D121" s="19" t="inlineStr">
        <is>
          <t>solo mencion de inmueble, sin servicio inmobiliario</t>
        </is>
      </c>
    </row>
    <row r="122">
      <c r="A122" s="17" t="inlineStr">
        <is>
          <t>2345-159-LR26</t>
        </is>
      </c>
      <c r="B122" s="19" t="inlineStr">
        <is>
          <t>Arriendo de Oficinas Modulares para el Proceso de Renovación de Permisos de Circulación para los años 2027-2029</t>
        </is>
      </c>
      <c r="C122" s="17" t="n">
        <v>22</v>
      </c>
      <c r="D122" s="19" t="inlineStr">
        <is>
          <t>score 22 &lt; 30</t>
        </is>
      </c>
    </row>
    <row r="123">
      <c r="A123" s="17" t="inlineStr">
        <is>
          <t>2369-69-LP26</t>
        </is>
      </c>
      <c r="B123" s="19" t="inlineStr">
        <is>
          <t>PP 44 Construcc. sede social Villa Santa Maria</t>
        </is>
      </c>
      <c r="C123" s="17" t="n">
        <v>8</v>
      </c>
      <c r="D123" s="19" t="inlineStr">
        <is>
          <t>solo mencion de inmueble, sin servicio inmobiliario</t>
        </is>
      </c>
    </row>
    <row r="124">
      <c r="A124" s="17" t="inlineStr">
        <is>
          <t>2378-110-LP26</t>
        </is>
      </c>
      <c r="B124" s="19" t="inlineStr">
        <is>
          <t>ARRIENDO YO  MANTENCIÓN DE BAÑOS QUIMICOS</t>
        </is>
      </c>
      <c r="C124" s="17" t="n">
        <v>0</v>
      </c>
      <c r="D124" s="19" t="inlineStr">
        <is>
          <t>score 0 &lt; 30</t>
        </is>
      </c>
    </row>
    <row r="125">
      <c r="A125" s="17" t="inlineStr">
        <is>
          <t>2402-85-L126</t>
        </is>
      </c>
      <c r="B125" s="19" t="inlineStr">
        <is>
          <t>SERVICIO DE TRASLADO RANCAGUA - VIÑA DEL MAR - RANCAGUA</t>
        </is>
      </c>
      <c r="C125" s="17" t="n">
        <v>0</v>
      </c>
      <c r="D125" s="19" t="inlineStr">
        <is>
          <t>score 0 &lt; 30</t>
        </is>
      </c>
    </row>
    <row r="126">
      <c r="A126" s="17" t="inlineStr">
        <is>
          <t>2405-108-LR26</t>
        </is>
      </c>
      <c r="B126" s="19" t="inlineStr">
        <is>
          <t>HABILITACION Y URBANIZACION LOTEO ALTOS</t>
        </is>
      </c>
      <c r="C126" s="17" t="n">
        <v>6</v>
      </c>
      <c r="D126" s="19" t="inlineStr">
        <is>
          <t>score 6 &lt; 30</t>
        </is>
      </c>
    </row>
    <row r="127">
      <c r="A127" s="17" t="inlineStr">
        <is>
          <t>2409-98-L126</t>
        </is>
      </c>
      <c r="B127" s="19" t="inlineStr">
        <is>
          <t>SERVICIO TRASLADO ALUMNAS A JORNADAS REFLEXION, ESCUELA D-926</t>
        </is>
      </c>
      <c r="C127" s="17" t="n">
        <v>0</v>
      </c>
      <c r="D127" s="19" t="inlineStr">
        <is>
          <t>score 0 &lt; 30</t>
        </is>
      </c>
    </row>
    <row r="128">
      <c r="A128" s="17" t="inlineStr">
        <is>
          <t>2409-99-L126</t>
        </is>
      </c>
      <c r="B128" s="19" t="inlineStr">
        <is>
          <t>SERVICIO TRASLADO ALUMNOS TALLER EXTRAESCOLAR Y JORNADAS REFLEXION, ESCUELA D-870</t>
        </is>
      </c>
      <c r="C128" s="17" t="n">
        <v>0</v>
      </c>
      <c r="D128" s="19" t="inlineStr">
        <is>
          <t>score 0 &lt; 30</t>
        </is>
      </c>
    </row>
    <row r="129">
      <c r="A129" s="17" t="inlineStr">
        <is>
          <t>2423-66-LE26</t>
        </is>
      </c>
      <c r="B129" s="19" t="inlineStr">
        <is>
          <t>ARRIENDO DE DISPOSITIVOS DE GEOLOCALIZACIÓN</t>
        </is>
      </c>
      <c r="C129" s="17" t="n">
        <v>0</v>
      </c>
      <c r="D129" s="19" t="inlineStr">
        <is>
          <t>score 0 &lt; 30</t>
        </is>
      </c>
    </row>
    <row r="130">
      <c r="A130" s="17" t="inlineStr">
        <is>
          <t>2429-8-LP26</t>
        </is>
      </c>
      <c r="B130" s="19" t="inlineStr">
        <is>
          <t>RENOVACIÓN DE INFRAESTRUCTURA DE RED INFORMÁTICA Y NORMALIZACIÓN DE CABLEADO ESTRUCTURADO DE LAS DEPENDENCIAS DE LA IMA</t>
        </is>
      </c>
      <c r="C130" s="17" t="n">
        <v>8</v>
      </c>
      <c r="D130" s="19" t="inlineStr">
        <is>
          <t>solo mencion de inmueble, sin servicio inmobiliario</t>
        </is>
      </c>
    </row>
    <row r="131">
      <c r="A131" s="17" t="inlineStr">
        <is>
          <t>2430-59-LP26</t>
        </is>
      </c>
      <c r="B131" s="19" t="inlineStr">
        <is>
          <t>P.M.U. “HABILITACIÓN ZONA DE JUEGOS PARQUE NICOLÁS TIRADO ANTOFAGASTA”</t>
        </is>
      </c>
      <c r="C131" s="17" t="n">
        <v>0</v>
      </c>
      <c r="D131" s="19" t="inlineStr">
        <is>
          <t>score 0 &lt; 30</t>
        </is>
      </c>
    </row>
    <row r="132">
      <c r="A132" s="17" t="inlineStr">
        <is>
          <t>2430-68-LR26</t>
        </is>
      </c>
      <c r="B132" s="19" t="inlineStr">
        <is>
          <t>MEJORAMIENTO INTEGRAL PLAZA SOTOMAYOR Y LOCALES COMERCIALES COMUNA DE ANTOFAGASTA</t>
        </is>
      </c>
      <c r="C132" s="17" t="n">
        <v>10</v>
      </c>
      <c r="D132" s="19" t="inlineStr">
        <is>
          <t>solo mencion de inmueble, sin servicio inmobiliario</t>
        </is>
      </c>
    </row>
    <row r="133">
      <c r="A133" s="17" t="inlineStr">
        <is>
          <t>2430-77-LP26</t>
        </is>
      </c>
      <c r="B133" s="19" t="inlineStr">
        <is>
          <t>MEJORAMIENTO SEDE SOCIAL EL ANCLA ANTOFAGASTA CÓDIGO BIP N°40073719-0</t>
        </is>
      </c>
      <c r="C133" s="17" t="n">
        <v>8</v>
      </c>
      <c r="D133" s="19" t="inlineStr">
        <is>
          <t>solo mencion de inmueble, sin servicio inmobiliario</t>
        </is>
      </c>
    </row>
    <row r="134">
      <c r="A134" s="17" t="inlineStr">
        <is>
          <t>2430-78-LP26</t>
        </is>
      </c>
      <c r="B134" s="19" t="inlineStr">
        <is>
          <t>CONSERVACIÓN SEDE SOCIAL RUBÉN INFANTA ANTOFAGASTA CÓDIGO BIP N°40073072-0</t>
        </is>
      </c>
      <c r="C134" s="17" t="n">
        <v>8</v>
      </c>
      <c r="D134" s="19" t="inlineStr">
        <is>
          <t>solo mencion de inmueble, sin servicio inmobiliario</t>
        </is>
      </c>
    </row>
    <row r="135">
      <c r="A135" s="17" t="inlineStr">
        <is>
          <t>2432-28-LE26</t>
        </is>
      </c>
      <c r="B135" s="19" t="inlineStr">
        <is>
          <t>ARRIENDO DE INMUEBLE DESTINADO A BODEGA MUNICIPAL</t>
        </is>
      </c>
      <c r="C135" s="17" t="n">
        <v>26</v>
      </c>
      <c r="D135" s="19" t="inlineStr">
        <is>
          <t>score 26 &lt; 30</t>
        </is>
      </c>
    </row>
    <row r="136">
      <c r="A136" s="17" t="inlineStr">
        <is>
          <t>2440-61-LE26</t>
        </is>
      </c>
      <c r="B136" s="19" t="inlineStr">
        <is>
          <t>Mejoramiento y Habilitación e Implementación de Patio de Educación Parvulario para el Establecimiento Educacional Escuela Padre Alberto Hurtado de Curicó</t>
        </is>
      </c>
      <c r="C136" s="17" t="n">
        <v>8</v>
      </c>
      <c r="D136" s="19" t="inlineStr">
        <is>
          <t>score 8 &lt; 30</t>
        </is>
      </c>
    </row>
    <row r="137">
      <c r="A137" s="17" t="inlineStr">
        <is>
          <t>2446-243-LP26</t>
        </is>
      </c>
      <c r="B137" s="19" t="inlineStr">
        <is>
          <t>CONSULTORÍA DISEÑO MUSEO COQUIMBO CASA GALLEGUILLO</t>
        </is>
      </c>
      <c r="C137" s="17" t="n">
        <v>5</v>
      </c>
      <c r="D137" s="19" t="inlineStr">
        <is>
          <t>solo mencion de inmueble, sin servicio inmobiliario</t>
        </is>
      </c>
    </row>
    <row r="138">
      <c r="A138" s="17" t="inlineStr">
        <is>
          <t>2446-257-LE26</t>
        </is>
      </c>
      <c r="B138" s="19" t="inlineStr">
        <is>
          <t>HABILITACIÓN CASA GALLEGUILLOS</t>
        </is>
      </c>
      <c r="C138" s="17" t="n">
        <v>11</v>
      </c>
      <c r="D138" s="19" t="inlineStr">
        <is>
          <t>score 11 &lt; 30</t>
        </is>
      </c>
    </row>
    <row r="139">
      <c r="A139" s="17" t="inlineStr">
        <is>
          <t>2446-260-LR26</t>
        </is>
      </c>
      <c r="B139" s="19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39" s="17" t="n">
        <v>8</v>
      </c>
      <c r="D139" s="19" t="inlineStr">
        <is>
          <t>solo mencion de inmueble, sin servicio inmobiliario</t>
        </is>
      </c>
    </row>
    <row r="140">
      <c r="A140" s="17" t="inlineStr">
        <is>
          <t>2446-266-LP26</t>
        </is>
      </c>
      <c r="B140" s="19" t="inlineStr">
        <is>
          <t>MANTENCIÓN CASA MAC AULIFFE</t>
        </is>
      </c>
      <c r="C140" s="17" t="n">
        <v>5</v>
      </c>
      <c r="D140" s="19" t="inlineStr">
        <is>
          <t>solo mencion de inmueble, sin servicio inmobiliario</t>
        </is>
      </c>
    </row>
    <row r="141">
      <c r="A141" s="17" t="inlineStr">
        <is>
          <t>2446-271-LR26</t>
        </is>
      </c>
      <c r="B141" s="19" t="inlineStr">
        <is>
          <t>REHABILITACION CASA DE LA CULTURA</t>
        </is>
      </c>
      <c r="C141" s="17" t="n">
        <v>11</v>
      </c>
      <c r="D141" s="19" t="inlineStr">
        <is>
          <t>score 11 &lt; 30</t>
        </is>
      </c>
    </row>
    <row r="142">
      <c r="A142" s="17" t="inlineStr">
        <is>
          <t>2581-36-LE26</t>
        </is>
      </c>
      <c r="B142" s="19" t="inlineStr">
        <is>
          <t>ADQUISICIÓN MÁQUINA TRITURADORA MULTIPROPÓSITO PARA EL DEPARTAMENTO DE MEDIOAMBIENTE</t>
        </is>
      </c>
      <c r="C142" s="17" t="n">
        <v>5</v>
      </c>
      <c r="D142" s="19" t="inlineStr">
        <is>
          <t>solo mencion de inmueble, sin servicio inmobiliario</t>
        </is>
      </c>
    </row>
    <row r="143">
      <c r="A143" s="17" t="inlineStr">
        <is>
          <t>2591-106-LR26</t>
        </is>
      </c>
      <c r="B143" s="19" t="inlineStr">
        <is>
          <t>REPOSICION OFICINA SRCEI POZO ALMONTE</t>
        </is>
      </c>
      <c r="C143" s="17" t="n">
        <v>10</v>
      </c>
      <c r="D143" s="19" t="inlineStr">
        <is>
          <t>solo mencion de inmueble, sin servicio inmobiliario</t>
        </is>
      </c>
    </row>
    <row r="144">
      <c r="A144" s="17" t="inlineStr">
        <is>
          <t>2600-29-LE26</t>
        </is>
      </c>
      <c r="B144" s="19" t="inlineStr">
        <is>
          <t>Const. accesibilidad universal Edificio Municipal</t>
        </is>
      </c>
      <c r="C144" s="17" t="n">
        <v>8</v>
      </c>
      <c r="D144" s="19" t="inlineStr">
        <is>
          <t>solo mencion de inmueble, sin servicio inmobiliario</t>
        </is>
      </c>
    </row>
    <row r="145">
      <c r="A145" s="17" t="inlineStr">
        <is>
          <t>2627-18-LR26</t>
        </is>
      </c>
      <c r="B145" s="19" t="inlineStr">
        <is>
          <t>MEJORAMIENTO RECINTO CLUB DEPORTIVO INTERSPORTING</t>
        </is>
      </c>
      <c r="C145" s="17" t="n">
        <v>5</v>
      </c>
      <c r="D145" s="19" t="inlineStr">
        <is>
          <t>solo mencion de inmueble, sin servicio inmobiliario</t>
        </is>
      </c>
    </row>
    <row r="146">
      <c r="A146" s="17" t="inlineStr">
        <is>
          <t>2667-39-LR26</t>
        </is>
      </c>
      <c r="B146" s="19" t="inlineStr">
        <is>
          <t>CONSTRUCCIÓN NUEVO EDIFICIO 37° COMISARIA DE VITACURA</t>
        </is>
      </c>
      <c r="C146" s="17" t="n">
        <v>11</v>
      </c>
      <c r="D146" s="19" t="inlineStr">
        <is>
          <t>score 11 &lt; 30</t>
        </is>
      </c>
    </row>
    <row r="147">
      <c r="A147" s="17" t="inlineStr">
        <is>
          <t>2667-71-LR26</t>
        </is>
      </c>
      <c r="B147" s="19" t="inlineStr">
        <is>
          <t>ARRIENDO SOPORTE Y MANTENCIÓN DE CENTRAL TELEFONICA IP TELEFONOS IP Y PLATAFORMA DE CONTACT CENTER</t>
        </is>
      </c>
      <c r="C147" s="17" t="n">
        <v>16</v>
      </c>
      <c r="D147" s="19" t="inlineStr">
        <is>
          <t>score 16 &lt; 30</t>
        </is>
      </c>
    </row>
    <row r="148">
      <c r="A148" s="17" t="inlineStr">
        <is>
          <t>2687-16-CO26</t>
        </is>
      </c>
      <c r="B148" s="19" t="inlineStr">
        <is>
          <t>REPOSICIÓN DE VENTANAS TERMOPANEL ESCUELA BÁSICA RURAL EL YECO</t>
        </is>
      </c>
      <c r="C148" s="17" t="n">
        <v>8</v>
      </c>
      <c r="D148" s="19" t="inlineStr">
        <is>
          <t>score 8 &lt; 30</t>
        </is>
      </c>
    </row>
    <row r="149">
      <c r="A149" s="17" t="inlineStr">
        <is>
          <t>2687-17-LE26</t>
        </is>
      </c>
      <c r="B149" s="19" t="inlineStr">
        <is>
          <t>CELEBRACIÓN DÍA DEL FUNCIONARIO DEL DEPARTAMENTO DE EDUCACIÓN MUNICIPAL</t>
        </is>
      </c>
      <c r="C149" s="17" t="n">
        <v>5</v>
      </c>
      <c r="D149" s="19" t="inlineStr">
        <is>
          <t>solo mencion de inmueble, sin servicio inmobiliario</t>
        </is>
      </c>
    </row>
    <row r="150">
      <c r="A150" s="17" t="inlineStr">
        <is>
          <t>2702-66-LE26</t>
        </is>
      </c>
      <c r="B150" s="19" t="inlineStr">
        <is>
          <t>Arriendo árboles de navidad Talagante 2026</t>
        </is>
      </c>
      <c r="C150" s="17" t="n">
        <v>0</v>
      </c>
      <c r="D150" s="19" t="inlineStr">
        <is>
          <t>score 0 &lt; 30</t>
        </is>
      </c>
    </row>
    <row r="151">
      <c r="A151" s="17" t="inlineStr">
        <is>
          <t>2704-77-LE26</t>
        </is>
      </c>
      <c r="B151" s="19" t="inlineStr">
        <is>
          <t>SERV. ARRIENDO DE STANDS FERIA DE LA CS. SC 5302</t>
        </is>
      </c>
      <c r="C151" s="17" t="n">
        <v>0</v>
      </c>
      <c r="D151" s="19" t="inlineStr">
        <is>
          <t>score 0 &lt; 30</t>
        </is>
      </c>
    </row>
    <row r="152">
      <c r="A152" s="17" t="inlineStr">
        <is>
          <t>2723-61-LR26</t>
        </is>
      </c>
      <c r="B152" s="19" t="inlineStr">
        <is>
          <t>Concesión Estacionamientos Calles Comuna de Buin</t>
        </is>
      </c>
      <c r="C152" s="17" t="n">
        <v>5</v>
      </c>
      <c r="D152" s="19" t="inlineStr">
        <is>
          <t>solo mencion de inmueble, sin servicio inmobiliario</t>
        </is>
      </c>
    </row>
    <row r="153">
      <c r="A153" s="17" t="inlineStr">
        <is>
          <t>2724-44-LE26</t>
        </is>
      </c>
      <c r="B153" s="19" t="inlineStr">
        <is>
          <t>Expo Juvenil y Casa Abierta San Carlos 2026</t>
        </is>
      </c>
      <c r="C153" s="17" t="n">
        <v>5</v>
      </c>
      <c r="D153" s="19" t="inlineStr">
        <is>
          <t>solo mencion de inmueble, sin servicio inmobiliario</t>
        </is>
      </c>
    </row>
    <row r="154">
      <c r="A154" s="17" t="inlineStr">
        <is>
          <t>2732-34-LP26</t>
        </is>
      </c>
      <c r="B154" s="19" t="inlineStr">
        <is>
          <t>Serv. Arriendo de Baños Químicos Ferias Libres</t>
        </is>
      </c>
      <c r="C154" s="17" t="n">
        <v>0</v>
      </c>
      <c r="D154" s="19" t="inlineStr">
        <is>
          <t>score 0 &lt; 30</t>
        </is>
      </c>
    </row>
    <row r="155">
      <c r="A155" s="17" t="inlineStr">
        <is>
          <t>2733-18-LE26</t>
        </is>
      </c>
      <c r="B155" s="19" t="inlineStr">
        <is>
          <t>Serv.habilitación Sala Sensorial-Liceo Peñaflor</t>
        </is>
      </c>
      <c r="C155" s="17" t="n">
        <v>8</v>
      </c>
      <c r="D155" s="19" t="inlineStr">
        <is>
          <t>score 8 &lt; 30</t>
        </is>
      </c>
    </row>
    <row r="156">
      <c r="A156" s="17" t="inlineStr">
        <is>
          <t>2741-65-LE26</t>
        </is>
      </c>
      <c r="B156" s="19" t="inlineStr">
        <is>
          <t>AMPLIACION SEDE COMUNITARIA HACIENDA QUILPUE</t>
        </is>
      </c>
      <c r="C156" s="17" t="n">
        <v>8</v>
      </c>
      <c r="D156" s="19" t="inlineStr">
        <is>
          <t>solo mencion de inmueble, sin servicio inmobiliario</t>
        </is>
      </c>
    </row>
    <row r="157">
      <c r="A157" s="17" t="inlineStr">
        <is>
          <t>2760-112-LE26</t>
        </is>
      </c>
      <c r="B157" s="19" t="inlineStr">
        <is>
          <t>REPARACION DE CUBIERTA Y HABILITACIÓN DE OFICINAS DE LA DIRECCIÓN DE SEGURIDAD PÚBLICA</t>
        </is>
      </c>
      <c r="C157" s="17" t="n">
        <v>16</v>
      </c>
      <c r="D157" s="19" t="inlineStr">
        <is>
          <t>score 16 &lt; 30</t>
        </is>
      </c>
    </row>
    <row r="158">
      <c r="A158" s="17" t="inlineStr">
        <is>
          <t>2760-113-LE26</t>
        </is>
      </c>
      <c r="B158" s="19" t="inlineStr">
        <is>
          <t>ADQUISICIÓN CASACAS DE TRABAJO PERSONAL PMU 2026</t>
        </is>
      </c>
      <c r="C158" s="17" t="n">
        <v>5</v>
      </c>
      <c r="D158" s="19" t="inlineStr">
        <is>
          <t>solo mencion de inmueble, sin servicio inmobiliario</t>
        </is>
      </c>
    </row>
    <row r="159">
      <c r="A159" s="17" t="inlineStr">
        <is>
          <t>2760-115-LE26</t>
        </is>
      </c>
      <c r="B159" s="19" t="inlineStr">
        <is>
          <t>ADQUISICIÓN CASACAS DE TRABAJO PERSONAL PRO EMPLEO</t>
        </is>
      </c>
      <c r="C159" s="17" t="n">
        <v>5</v>
      </c>
      <c r="D159" s="19" t="inlineStr">
        <is>
          <t>solo mencion de inmueble, sin servicio inmobiliario</t>
        </is>
      </c>
    </row>
    <row r="160">
      <c r="A160" s="17" t="inlineStr">
        <is>
          <t>2772-23-LE26</t>
        </is>
      </c>
      <c r="B160" s="19" t="inlineStr">
        <is>
          <t>HABILITACION CENTRAL DE MONITOREO CHIGUAYANTE.</t>
        </is>
      </c>
      <c r="C160" s="17" t="n">
        <v>10</v>
      </c>
      <c r="D160" s="19" t="inlineStr">
        <is>
          <t>score 10 &lt; 30</t>
        </is>
      </c>
    </row>
    <row r="161">
      <c r="A161" s="17" t="inlineStr">
        <is>
          <t>2794-22-LR26</t>
        </is>
      </c>
      <c r="B161" s="19" t="inlineStr">
        <is>
          <t>Adquisicion de Terreno para Medio Ambiente L.A.</t>
        </is>
      </c>
      <c r="C161" s="17" t="n">
        <v>9</v>
      </c>
      <c r="D161" s="19" t="inlineStr">
        <is>
          <t>solo mencion de inmueble, sin servicio inmobiliario</t>
        </is>
      </c>
    </row>
    <row r="162">
      <c r="A162" s="17" t="inlineStr">
        <is>
          <t>2832-32-LE26</t>
        </is>
      </c>
      <c r="B162" s="19" t="inlineStr">
        <is>
          <t>Segundo llamado a Licitación Pública para Ctto. de Suministro Oxígeno Domiciliario Departamento de Salud Quillota</t>
        </is>
      </c>
      <c r="C162" s="17" t="n">
        <v>5</v>
      </c>
      <c r="D162" s="19" t="inlineStr">
        <is>
          <t>solo mencion de inmueble, sin servicio inmobiliario</t>
        </is>
      </c>
    </row>
    <row r="163">
      <c r="A163" s="17" t="inlineStr">
        <is>
          <t>2889-7-LE26</t>
        </is>
      </c>
      <c r="B163" s="19" t="inlineStr">
        <is>
          <t>REMODELACIÓN VRIP HABILITACIÓN DE AUDITORIO</t>
        </is>
      </c>
      <c r="C163" s="17" t="n">
        <v>10</v>
      </c>
      <c r="D163" s="19" t="inlineStr">
        <is>
          <t>score 10 &lt; 30</t>
        </is>
      </c>
    </row>
    <row r="164">
      <c r="A164" s="17" t="inlineStr">
        <is>
          <t>2905-42-LP26</t>
        </is>
      </c>
      <c r="B164" s="19" t="inlineStr">
        <is>
          <t>Habilitación Oficinas Municipales Calle Alberto C</t>
        </is>
      </c>
      <c r="C164" s="17" t="n">
        <v>16</v>
      </c>
      <c r="D164" s="19" t="inlineStr">
        <is>
          <t>score 16 &lt; 30</t>
        </is>
      </c>
    </row>
    <row r="165">
      <c r="A165" s="17" t="inlineStr">
        <is>
          <t>2920-38-LP26</t>
        </is>
      </c>
      <c r="B165" s="19" t="inlineStr">
        <is>
          <t>Construcción Sede Juventud Robinsoniana.</t>
        </is>
      </c>
      <c r="C165" s="17" t="n">
        <v>8</v>
      </c>
      <c r="D165" s="19" t="inlineStr">
        <is>
          <t>solo mencion de inmueble, sin servicio inmobiliario</t>
        </is>
      </c>
    </row>
    <row r="166">
      <c r="A166" s="17" t="inlineStr">
        <is>
          <t>2950-44-LP26</t>
        </is>
      </c>
      <c r="B166" s="19" t="inlineStr">
        <is>
          <t>REPARACIÓN TECHUMBRE Y AZOTEAS DEL EDIFICIO HABITABILIDAD ESCUELA NAVAL ARTURO PRAT</t>
        </is>
      </c>
      <c r="C166" s="17" t="n">
        <v>8</v>
      </c>
      <c r="D166" s="19" t="inlineStr">
        <is>
          <t>solo mencion de inmueble, sin servicio inmobiliario</t>
        </is>
      </c>
    </row>
    <row r="167">
      <c r="A167" s="17" t="inlineStr">
        <is>
          <t>299-17-LP26</t>
        </is>
      </c>
      <c r="B167" s="19" t="inlineStr">
        <is>
          <t>E102RT9BRANDING Y ORNAMENTACION RECINTOS LOS RIOS</t>
        </is>
      </c>
      <c r="C167" s="17" t="n">
        <v>5</v>
      </c>
      <c r="D167" s="19" t="inlineStr">
        <is>
          <t>solo mencion de inmueble, sin servicio inmobiliario</t>
        </is>
      </c>
    </row>
    <row r="168">
      <c r="A168" s="17" t="inlineStr">
        <is>
          <t>2997-58-LE26</t>
        </is>
      </c>
      <c r="B168" s="19" t="inlineStr">
        <is>
          <t>Habilitación Espacio Deportivo Chañaral alto</t>
        </is>
      </c>
      <c r="C168" s="17" t="n">
        <v>8</v>
      </c>
      <c r="D168" s="19" t="inlineStr">
        <is>
          <t>score 8 &lt; 30</t>
        </is>
      </c>
    </row>
    <row r="169">
      <c r="A169" s="17" t="inlineStr">
        <is>
          <t>3015-49-L126</t>
        </is>
      </c>
      <c r="B169" s="19" t="inlineStr">
        <is>
          <t>DISEÑO PROYECTO ELÉCTRICO EDIFICIO CONSISTORIAL</t>
        </is>
      </c>
      <c r="C169" s="17" t="n">
        <v>14</v>
      </c>
      <c r="D169" s="19" t="inlineStr">
        <is>
          <t>score 14 &lt; 30</t>
        </is>
      </c>
    </row>
    <row r="170">
      <c r="A170" s="17" t="inlineStr">
        <is>
          <t>3015-56-LP26</t>
        </is>
      </c>
      <c r="B170" s="19" t="inlineStr">
        <is>
          <t>MEJ ACCESIBILIDAD Y ENTORNO SEDE SOCIAL TERRAVIDA</t>
        </is>
      </c>
      <c r="C170" s="17" t="n">
        <v>8</v>
      </c>
      <c r="D170" s="19" t="inlineStr">
        <is>
          <t>solo mencion de inmueble, sin servicio inmobiliario</t>
        </is>
      </c>
    </row>
    <row r="171">
      <c r="A171" s="17" t="inlineStr">
        <is>
          <t>3085-64-L126</t>
        </is>
      </c>
      <c r="B171" s="19" t="inlineStr">
        <is>
          <t>REPARACIÓN DE TECHUMBRE, INSTALACIÓN DE PUERTA Y VENTANA A LOGIA EN VIVIENDA FISCAL</t>
        </is>
      </c>
      <c r="C171" s="17" t="n">
        <v>0</v>
      </c>
      <c r="D171" s="19" t="inlineStr">
        <is>
          <t>score 0 &lt; 30</t>
        </is>
      </c>
    </row>
    <row r="172">
      <c r="A172" s="17" t="inlineStr">
        <is>
          <t>3085-65-L126</t>
        </is>
      </c>
      <c r="B172" s="19" t="inlineStr">
        <is>
          <t>SERVICIO DE PROVISIÓN E INSTALACIÓN DE VENTANAS TERMOPANEL 04 VIVIENDAS FISCALES</t>
        </is>
      </c>
      <c r="C172" s="17" t="n">
        <v>0</v>
      </c>
      <c r="D172" s="19" t="inlineStr">
        <is>
          <t>score 0 &lt; 30</t>
        </is>
      </c>
    </row>
    <row r="173">
      <c r="A173" s="17" t="inlineStr">
        <is>
          <t>3085-69-L126</t>
        </is>
      </c>
      <c r="B173" s="19" t="inlineStr">
        <is>
          <t>PROVISIÓN E INSTALACIÓN DE PUERTAS DE ALUMINIO Y VENTANAL FIJO ACCESO LOGIA A DOS VIVIENDAS FISCALES.</t>
        </is>
      </c>
      <c r="C173" s="17" t="n">
        <v>0</v>
      </c>
      <c r="D173" s="19" t="inlineStr">
        <is>
          <t>score 0 &lt; 30</t>
        </is>
      </c>
    </row>
    <row r="174">
      <c r="A174" s="17" t="inlineStr">
        <is>
          <t>3092-22-L126</t>
        </is>
      </c>
      <c r="B174" s="19" t="inlineStr">
        <is>
          <t>“ADQUISICIÓN DE FÁRMACOS OFTALMOLOGICO DESTINADOS A PACIENTES DEL PROGRAMA RESOLUTIVIDAD – COMPONENTE  ATENCIÓN PRIMARIA OFTALMOLOGICA  DE LA DIRECCIÓN DE SALUD  DE LA I. MUNICIPALIDAD DE CASABLANCA</t>
        </is>
      </c>
      <c r="C174" s="17" t="n">
        <v>5</v>
      </c>
      <c r="D174" s="19" t="inlineStr">
        <is>
          <t>solo mencion de inmueble, sin servicio inmobiliario</t>
        </is>
      </c>
    </row>
    <row r="175">
      <c r="A175" s="17" t="inlineStr">
        <is>
          <t>3132-35-LE26</t>
        </is>
      </c>
      <c r="B175" s="19" t="inlineStr">
        <is>
          <t>SERVICIO DE REEMPLAZO VENTANALES</t>
        </is>
      </c>
      <c r="C175" s="17" t="n">
        <v>10</v>
      </c>
      <c r="D175" s="19" t="inlineStr">
        <is>
          <t>score 10 &lt; 30</t>
        </is>
      </c>
    </row>
    <row r="176">
      <c r="A176" s="17" t="inlineStr">
        <is>
          <t>3156-45-LE26</t>
        </is>
      </c>
      <c r="B176" s="19" t="inlineStr">
        <is>
          <t>NIVELACIÓN DE TERRENO PARA PROYECTO ESGRUM 2 A</t>
        </is>
      </c>
      <c r="C176" s="17" t="n">
        <v>9</v>
      </c>
      <c r="D176" s="19" t="inlineStr">
        <is>
          <t>solo mencion de inmueble, sin servicio inmobiliario</t>
        </is>
      </c>
    </row>
    <row r="177">
      <c r="A177" s="17" t="inlineStr">
        <is>
          <t>3160-3-LE26</t>
        </is>
      </c>
      <c r="B177" s="19" t="inlineStr">
        <is>
          <t>SERVICIO DE CAMBIO DE TECHUMBRE DEL EDIFICIO COMMILDIRUNO</t>
        </is>
      </c>
      <c r="C177" s="17" t="n">
        <v>8</v>
      </c>
      <c r="D177" s="19" t="inlineStr">
        <is>
          <t>solo mencion de inmueble, sin servicio inmobiliario</t>
        </is>
      </c>
    </row>
    <row r="178">
      <c r="A178" s="17" t="inlineStr">
        <is>
          <t>3160-4-LE26</t>
        </is>
      </c>
      <c r="B178" s="19" t="inlineStr">
        <is>
          <t>SERVICIO DE INSTALACIÓN DE TERMOPANEL EDIFICIO DIRECCIONES UNO</t>
        </is>
      </c>
      <c r="C178" s="17" t="n">
        <v>8</v>
      </c>
      <c r="D178" s="19" t="inlineStr">
        <is>
          <t>solo mencion de inmueble, sin servicio inmobiliario</t>
        </is>
      </c>
    </row>
    <row r="179">
      <c r="A179" s="17" t="inlineStr">
        <is>
          <t>3179-55-LE26</t>
        </is>
      </c>
      <c r="B179" s="19" t="inlineStr">
        <is>
          <t>ADQUISICIÓN DE GORRA PNI MASCULINO DESTINADA AL STOCK DEL DEPARTAMENTO L.2</t>
        </is>
      </c>
      <c r="C179" s="17" t="n">
        <v>5</v>
      </c>
      <c r="D179" s="19" t="inlineStr">
        <is>
          <t>solo mencion de inmueble, sin servicio inmobiliario</t>
        </is>
      </c>
    </row>
    <row r="180">
      <c r="A180" s="17" t="inlineStr">
        <is>
          <t>3211-11-LP26</t>
        </is>
      </c>
      <c r="B180" s="19" t="inlineStr">
        <is>
          <t>CONSTRUCCCIÓN SEDE SOCIAL SAN JOSÉ Y JUEGOS INFANT</t>
        </is>
      </c>
      <c r="C180" s="17" t="n">
        <v>8</v>
      </c>
      <c r="D180" s="19" t="inlineStr">
        <is>
          <t>solo mencion de inmueble, sin servicio inmobiliario</t>
        </is>
      </c>
    </row>
    <row r="181">
      <c r="A181" s="17" t="inlineStr">
        <is>
          <t>3355-9-LP26</t>
        </is>
      </c>
      <c r="B181" s="19" t="inlineStr">
        <is>
          <t xml:space="preserve">ADQUISICIÓN DE EQUIPAMIENTO HIDROELÉCTRICO Y SERVICIO DE RECUPERACIÓN HABILITACIÓN Y PUESTA EN MARCHA DE LA MICRO CENTRAL ELÉCTRICA DEL REFUGIO MILITAR LOS BARROS </t>
        </is>
      </c>
      <c r="C181" s="17" t="n">
        <v>0</v>
      </c>
      <c r="D181" s="19" t="inlineStr">
        <is>
          <t>score 0 &lt; 30</t>
        </is>
      </c>
    </row>
    <row r="182">
      <c r="A182" s="17" t="inlineStr">
        <is>
          <t>3375-15-LP26</t>
        </is>
      </c>
      <c r="B182" s="19" t="inlineStr">
        <is>
          <t>Remodelación de dependencias AF-142</t>
        </is>
      </c>
      <c r="C182" s="17" t="n">
        <v>8</v>
      </c>
      <c r="D182" s="19" t="inlineStr">
        <is>
          <t>solo mencion de inmueble, sin servicio inmobiliario</t>
        </is>
      </c>
    </row>
    <row r="183">
      <c r="A183" s="17" t="inlineStr">
        <is>
          <t>3453-87-LE26</t>
        </is>
      </c>
      <c r="B183" s="19" t="inlineStr">
        <is>
          <t>MANT. Y REP. DE TALLERES Y CASA TACTICA</t>
        </is>
      </c>
      <c r="C183" s="17" t="n">
        <v>5</v>
      </c>
      <c r="D183" s="19" t="inlineStr">
        <is>
          <t>solo mencion de inmueble, sin servicio inmobiliario</t>
        </is>
      </c>
    </row>
    <row r="184">
      <c r="A184" s="17" t="inlineStr">
        <is>
          <t>3477-84-LE26</t>
        </is>
      </c>
      <c r="B184" s="19" t="inlineStr">
        <is>
          <t>“CONSERVACIÓN EDIFICIOS MUNICIPALES: DEPARTAMENTO</t>
        </is>
      </c>
      <c r="C184" s="17" t="n">
        <v>8</v>
      </c>
      <c r="D184" s="19" t="inlineStr">
        <is>
          <t>solo mencion de inmueble, sin servicio inmobiliario</t>
        </is>
      </c>
    </row>
    <row r="185">
      <c r="A185" s="17" t="inlineStr">
        <is>
          <t>3477-87-LE26</t>
        </is>
      </c>
      <c r="B185" s="19" t="inlineStr">
        <is>
          <t>“AMPLIACIÓN SEDE LOS ALERCES DE GENERAL LÓPEZ COMUNA DE VILCÚN”</t>
        </is>
      </c>
      <c r="C185" s="17" t="n">
        <v>8</v>
      </c>
      <c r="D185" s="19" t="inlineStr">
        <is>
          <t>solo mencion de inmueble, sin servicio inmobiliario</t>
        </is>
      </c>
    </row>
    <row r="186">
      <c r="A186" s="17" t="inlineStr">
        <is>
          <t>3480-20-LE26</t>
        </is>
      </c>
      <c r="B186" s="19" t="inlineStr">
        <is>
          <t>Revestimiento exterior con metal siding y ventana</t>
        </is>
      </c>
      <c r="C186" s="17" t="n">
        <v>0</v>
      </c>
      <c r="D186" s="19" t="inlineStr">
        <is>
          <t>score 0 &lt; 30</t>
        </is>
      </c>
    </row>
    <row r="187">
      <c r="A187" s="17" t="inlineStr">
        <is>
          <t>3525-8-LR26</t>
        </is>
      </c>
      <c r="B187" s="19" t="inlineStr">
        <is>
          <t>Sum e instalación de taludes visita terreno volun</t>
        </is>
      </c>
      <c r="C187" s="17" t="n">
        <v>9</v>
      </c>
      <c r="D187" s="19" t="inlineStr">
        <is>
          <t>solo mencion de inmueble, sin servicio inmobiliario</t>
        </is>
      </c>
    </row>
    <row r="188">
      <c r="A188" s="17" t="inlineStr">
        <is>
          <t>3542-23-LE26</t>
        </is>
      </c>
      <c r="B188" s="19" t="inlineStr">
        <is>
          <t xml:space="preserve">ARRIENDO DE EXCAVADORA 20 TON SIN OPERADOR </t>
        </is>
      </c>
      <c r="C188" s="17" t="n">
        <v>0</v>
      </c>
      <c r="D188" s="19" t="inlineStr">
        <is>
          <t>score 0 &lt; 30</t>
        </is>
      </c>
    </row>
    <row r="189">
      <c r="A189" s="17" t="inlineStr">
        <is>
          <t>3542-26-LE26</t>
        </is>
      </c>
      <c r="B189" s="19" t="inlineStr">
        <is>
          <t>SERVICIO DE REMODELACIÓN DE OFICINAS DEL TALLER DE MANTENIMIENTO</t>
        </is>
      </c>
      <c r="C189" s="17" t="n">
        <v>10</v>
      </c>
      <c r="D189" s="19" t="inlineStr">
        <is>
          <t>solo mencion de inmueble, sin servicio inmobiliario</t>
        </is>
      </c>
    </row>
    <row r="190">
      <c r="A190" s="17" t="inlineStr">
        <is>
          <t>3568-27-L126</t>
        </is>
      </c>
      <c r="B190" s="19" t="inlineStr">
        <is>
          <t>SERVICIO DE TRASLADO PROFESIONALES PROGRAMA DE RED LOCAL DE APOYO Y CUIDADOS</t>
        </is>
      </c>
      <c r="C190" s="17" t="n">
        <v>6</v>
      </c>
      <c r="D190" s="19" t="inlineStr">
        <is>
          <t>score 6 &lt; 30</t>
        </is>
      </c>
    </row>
    <row r="191">
      <c r="A191" s="17" t="inlineStr">
        <is>
          <t>359-107-LE26</t>
        </is>
      </c>
      <c r="B191" s="19" t="inlineStr">
        <is>
          <t>ROCURONIO BROMURO CON COMODATO DE EQUIPO</t>
        </is>
      </c>
      <c r="C191" s="17" t="n">
        <v>0</v>
      </c>
      <c r="D191" s="19" t="inlineStr">
        <is>
          <t>score 0 &lt; 30</t>
        </is>
      </c>
    </row>
    <row r="192">
      <c r="A192" s="17" t="inlineStr">
        <is>
          <t>3693-158-LP26</t>
        </is>
      </c>
      <c r="B192" s="19" t="inlineStr">
        <is>
          <t>CONSTRUCCIÓN SEDE JUNTA DE VECINOS VILLA ALTOS DE ZAÑARTU COMUNA DE EL QUISCO CÓDIGO BIP 40076595-0</t>
        </is>
      </c>
      <c r="C192" s="17" t="n">
        <v>8</v>
      </c>
      <c r="D192" s="19" t="inlineStr">
        <is>
          <t>solo mencion de inmueble, sin servicio inmobiliario</t>
        </is>
      </c>
    </row>
    <row r="193">
      <c r="A193" s="17" t="inlineStr">
        <is>
          <t>3708-40-LE26</t>
        </is>
      </c>
      <c r="B193" s="19" t="inlineStr">
        <is>
          <t>HABILITACION OFICINAS TRANSITO OBRAS Y OTRAS</t>
        </is>
      </c>
      <c r="C193" s="17" t="n">
        <v>16</v>
      </c>
      <c r="D193" s="19" t="inlineStr">
        <is>
          <t>score 16 &lt; 30</t>
        </is>
      </c>
    </row>
    <row r="194">
      <c r="A194" s="17" t="inlineStr">
        <is>
          <t>3764-52-LP26</t>
        </is>
      </c>
      <c r="B194" s="19" t="inlineStr">
        <is>
          <t>CONSTRUCCIÓN SEDE CLUB DEPORTIVO UNIÓN CUNACO</t>
        </is>
      </c>
      <c r="C194" s="17" t="n">
        <v>8</v>
      </c>
      <c r="D194" s="19" t="inlineStr">
        <is>
          <t>solo mencion de inmueble, sin servicio inmobiliario</t>
        </is>
      </c>
    </row>
    <row r="195">
      <c r="A195" s="17" t="inlineStr">
        <is>
          <t>3798-19-LR26</t>
        </is>
      </c>
      <c r="B195" s="19" t="inlineStr">
        <is>
          <t>ADQUISICIÓN DE TERRENO DE INFRAESTRUCTURA PÚBLICA</t>
        </is>
      </c>
      <c r="C195" s="17" t="n">
        <v>9</v>
      </c>
      <c r="D195" s="19" t="inlineStr">
        <is>
          <t>solo mencion de inmueble, sin servicio inmobiliario</t>
        </is>
      </c>
    </row>
    <row r="196">
      <c r="A196" s="17" t="inlineStr">
        <is>
          <t>3847-41-LE26</t>
        </is>
      </c>
      <c r="B196" s="19" t="inlineStr">
        <is>
          <t>DISEÑO PLAN MAESTRO PARQUE URBANO BAQUEDANO</t>
        </is>
      </c>
      <c r="C196" s="17" t="n">
        <v>16</v>
      </c>
      <c r="D196" s="19" t="inlineStr">
        <is>
          <t>score 16 &lt; 30</t>
        </is>
      </c>
    </row>
    <row r="197">
      <c r="A197" s="17" t="inlineStr">
        <is>
          <t>3849-4-LE26</t>
        </is>
      </c>
      <c r="B197" s="19" t="inlineStr">
        <is>
          <t>ADQUISICIÓN E INSTALACIÓN DE VENTANAS</t>
        </is>
      </c>
      <c r="C197" s="17" t="n">
        <v>11</v>
      </c>
      <c r="D197" s="19" t="inlineStr">
        <is>
          <t>score 11 &lt; 30</t>
        </is>
      </c>
    </row>
    <row r="198">
      <c r="A198" s="17" t="inlineStr">
        <is>
          <t>3885-51-LP26</t>
        </is>
      </c>
      <c r="B198" s="19" t="inlineStr">
        <is>
          <t xml:space="preserve">AMPLIACION OFICINA DE FINANZAS ILUSTRE MUNICIPALIDAD DE PICA </t>
        </is>
      </c>
      <c r="C198" s="17" t="n">
        <v>10</v>
      </c>
      <c r="D198" s="19" t="inlineStr">
        <is>
          <t>solo mencion de inmueble, sin servicio inmobiliario</t>
        </is>
      </c>
    </row>
    <row r="199">
      <c r="A199" s="17" t="inlineStr">
        <is>
          <t>3908-44-LE26</t>
        </is>
      </c>
      <c r="B199" s="19" t="inlineStr">
        <is>
          <t>HABILITACIÓN Y SEÑALIZACIÓN PLAZOLETA RENÉ PINEDA Y MEJORAMIENTO PLAZA POBLACIÓN NUEVO VIVIR COMUNA DE RENAICO</t>
        </is>
      </c>
      <c r="C199" s="17" t="n">
        <v>0</v>
      </c>
      <c r="D199" s="19" t="inlineStr">
        <is>
          <t>score 0 &lt; 30</t>
        </is>
      </c>
    </row>
    <row r="200">
      <c r="A200" s="17" t="inlineStr">
        <is>
          <t>3938-39-L126</t>
        </is>
      </c>
      <c r="B200" s="19" t="inlineStr">
        <is>
          <t>CONTRATACION DE SERVICIO DE TRASLADO DE AGRICULTORES PARA 11 ACCIONES FORMATIVAS - PDTI CURARREHUE</t>
        </is>
      </c>
      <c r="C200" s="17" t="n">
        <v>0</v>
      </c>
      <c r="D200" s="19" t="inlineStr">
        <is>
          <t>score 0 &lt; 30</t>
        </is>
      </c>
    </row>
    <row r="201">
      <c r="A201" s="17" t="inlineStr">
        <is>
          <t>3963-16-LP26</t>
        </is>
      </c>
      <c r="B201" s="19" t="inlineStr">
        <is>
          <t>Mej. Sede y Multicancha Pobl.Juan Gonzalez Peumo</t>
        </is>
      </c>
      <c r="C201" s="17" t="n">
        <v>8</v>
      </c>
      <c r="D201" s="19" t="inlineStr">
        <is>
          <t>solo mencion de inmueble, sin servicio inmobiliario</t>
        </is>
      </c>
    </row>
    <row r="202">
      <c r="A202" s="17" t="inlineStr">
        <is>
          <t>3994-29-LR26</t>
        </is>
      </c>
      <c r="B202" s="19" t="inlineStr">
        <is>
          <t>CONST. SEDE Y ESPACIO COMUNITARIO GULTRO ORIENTE</t>
        </is>
      </c>
      <c r="C202" s="17" t="n">
        <v>8</v>
      </c>
      <c r="D202" s="19" t="inlineStr">
        <is>
          <t>solo mencion de inmueble, sin servicio inmobiliario</t>
        </is>
      </c>
    </row>
    <row r="203">
      <c r="A203" s="17" t="inlineStr">
        <is>
          <t>4032-22-LP26</t>
        </is>
      </c>
      <c r="B203" s="19" t="inlineStr">
        <is>
          <t>REPOSICIÓN OFICINA DE TURISMO CAÑETE</t>
        </is>
      </c>
      <c r="C203" s="17" t="n">
        <v>10</v>
      </c>
      <c r="D203" s="19" t="inlineStr">
        <is>
          <t>solo mencion de inmueble, sin servicio inmobiliario</t>
        </is>
      </c>
    </row>
    <row r="204">
      <c r="A204" s="17" t="inlineStr">
        <is>
          <t>4037-66-LE26</t>
        </is>
      </c>
      <c r="B204" s="19" t="inlineStr">
        <is>
          <t xml:space="preserve">SERV. LIMPIEZA PROGRAMA CANONES LIMPIOS CASAS </t>
        </is>
      </c>
      <c r="C204" s="17" t="n">
        <v>5</v>
      </c>
      <c r="D204" s="19" t="inlineStr">
        <is>
          <t>solo mencion de inmueble, sin servicio inmobiliario</t>
        </is>
      </c>
    </row>
    <row r="205">
      <c r="A205" s="17" t="inlineStr">
        <is>
          <t>4063-1-LP26</t>
        </is>
      </c>
      <c r="B205" s="19" t="inlineStr">
        <is>
          <t>CONSTRUCCIÓN SEDE CLUB COLO COLO DE CUYÁN MARIQUINA</t>
        </is>
      </c>
      <c r="C205" s="17" t="n">
        <v>8</v>
      </c>
      <c r="D205" s="19" t="inlineStr">
        <is>
          <t>solo mencion de inmueble, sin servicio inmobiliario</t>
        </is>
      </c>
    </row>
    <row r="206">
      <c r="A206" s="17" t="inlineStr">
        <is>
          <t>4099-25-LE26</t>
        </is>
      </c>
      <c r="B206" s="19" t="inlineStr">
        <is>
          <t>Servicio de Arriendo de Gestor Documental</t>
        </is>
      </c>
      <c r="C206" s="17" t="n">
        <v>0</v>
      </c>
      <c r="D206" s="19" t="inlineStr">
        <is>
          <t>score 0 &lt; 30</t>
        </is>
      </c>
    </row>
    <row r="207">
      <c r="A207" s="17" t="inlineStr">
        <is>
          <t>411-43-CO26</t>
        </is>
      </c>
      <c r="B207" s="19" t="inlineStr">
        <is>
          <t>CONSTRUCCIÓN BODEGA MUNICIPAL SECTOR LA HUERTA</t>
        </is>
      </c>
      <c r="C207" s="17" t="n">
        <v>7</v>
      </c>
      <c r="D207" s="19" t="inlineStr">
        <is>
          <t>solo mencion de inmueble, sin servicio inmobiliario</t>
        </is>
      </c>
    </row>
    <row r="208">
      <c r="A208" s="17" t="inlineStr">
        <is>
          <t>411-45-LE26</t>
        </is>
      </c>
      <c r="B208" s="19" t="inlineStr">
        <is>
          <t>MEJORAMIENTO TECHUMBRE SEDE JJVV RETAMO</t>
        </is>
      </c>
      <c r="C208" s="17" t="n">
        <v>8</v>
      </c>
      <c r="D208" s="19" t="inlineStr">
        <is>
          <t>solo mencion de inmueble, sin servicio inmobiliario</t>
        </is>
      </c>
    </row>
    <row r="209">
      <c r="A209" s="17" t="inlineStr">
        <is>
          <t>4127-50-LE26</t>
        </is>
      </c>
      <c r="B209" s="19" t="inlineStr">
        <is>
          <t>[DIVAP] Estudio del bodegaje de ajuares</t>
        </is>
      </c>
      <c r="C209" s="17" t="n">
        <v>7</v>
      </c>
      <c r="D209" s="19" t="inlineStr">
        <is>
          <t>solo mencion de inmueble, sin servicio inmobiliario</t>
        </is>
      </c>
    </row>
    <row r="210">
      <c r="A210" s="17" t="inlineStr">
        <is>
          <t>4160-14-LP26</t>
        </is>
      </c>
      <c r="B210" s="19" t="inlineStr">
        <is>
          <t>CONSTRUCCION SEDE SOCIAL JJVV LOS NOTROS HUALPEN</t>
        </is>
      </c>
      <c r="C210" s="17" t="n">
        <v>8</v>
      </c>
      <c r="D210" s="19" t="inlineStr">
        <is>
          <t>solo mencion de inmueble, sin servicio inmobiliario</t>
        </is>
      </c>
    </row>
    <row r="211">
      <c r="A211" s="17" t="inlineStr">
        <is>
          <t>4164-44-LP26</t>
        </is>
      </c>
      <c r="B211" s="19" t="inlineStr">
        <is>
          <t>SUMINISTRO DE TRASLADOS DE PASAJEROS TRAMO A y B</t>
        </is>
      </c>
      <c r="C211" s="17" t="n">
        <v>0</v>
      </c>
      <c r="D211" s="19" t="inlineStr">
        <is>
          <t>score 0 &lt; 30</t>
        </is>
      </c>
    </row>
    <row r="212">
      <c r="A212" s="17" t="inlineStr">
        <is>
          <t>425-57-LR26</t>
        </is>
      </c>
      <c r="B212" s="19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12" s="17" t="n">
        <v>0</v>
      </c>
      <c r="D212" s="19" t="inlineStr">
        <is>
          <t>score 0 &lt; 30</t>
        </is>
      </c>
    </row>
    <row r="213">
      <c r="A213" s="17" t="inlineStr">
        <is>
          <t>425-66-LP26</t>
        </is>
      </c>
      <c r="B213" s="19" t="inlineStr">
        <is>
          <t>Servicio de Habilitación Fiscalía Judicial</t>
        </is>
      </c>
      <c r="C213" s="17" t="n">
        <v>0</v>
      </c>
      <c r="D213" s="19" t="inlineStr">
        <is>
          <t>score 0 &lt; 30</t>
        </is>
      </c>
    </row>
    <row r="214">
      <c r="A214" s="17" t="inlineStr">
        <is>
          <t>4284-150-L126</t>
        </is>
      </c>
      <c r="B214" s="19" t="inlineStr">
        <is>
          <t>Adquisición de materiales de oficina didáctico-educativo ejecución actividades usuarios programas Vínculos versión 20 primer añoOLN según bases adjuntas Pagina 1.2 detalles de bienes a licitar</t>
        </is>
      </c>
      <c r="C214" s="17" t="n">
        <v>10</v>
      </c>
      <c r="D214" s="19" t="inlineStr">
        <is>
          <t>solo mencion de inmueble, sin servicio inmobiliario</t>
        </is>
      </c>
    </row>
    <row r="215">
      <c r="A215" s="17" t="inlineStr">
        <is>
          <t>4290-61-LE26</t>
        </is>
      </c>
      <c r="B215" s="19" t="inlineStr">
        <is>
          <t>ARRIENDO BAÑOS QUIMICOS RENAMU Y CENTRO RECICLAJE</t>
        </is>
      </c>
      <c r="C215" s="17" t="n">
        <v>16</v>
      </c>
      <c r="D215" s="19" t="inlineStr">
        <is>
          <t>score 16 &lt; 30</t>
        </is>
      </c>
    </row>
    <row r="216">
      <c r="A216" s="17" t="inlineStr">
        <is>
          <t>4295-67-LP26</t>
        </is>
      </c>
      <c r="B216" s="19" t="inlineStr">
        <is>
          <t>Servicio de enlace de datos voz IP y CCTV para oficinas remotas</t>
        </is>
      </c>
      <c r="C216" s="17" t="n">
        <v>10</v>
      </c>
      <c r="D216" s="19" t="inlineStr">
        <is>
          <t>solo mencion de inmueble, sin servicio inmobiliario</t>
        </is>
      </c>
    </row>
    <row r="217">
      <c r="A217" s="17" t="inlineStr">
        <is>
          <t>4295-82-LP26</t>
        </is>
      </c>
      <c r="B217" s="19" t="inlineStr">
        <is>
          <t>ARRIENDO INSTALACIÓN Y MANTENCIÓN DE GABINETES PSICOTÉCNICOS 2026-2029</t>
        </is>
      </c>
      <c r="C217" s="17" t="n">
        <v>0</v>
      </c>
      <c r="D217" s="19" t="inlineStr">
        <is>
          <t>score 0 &lt; 30</t>
        </is>
      </c>
    </row>
    <row r="218">
      <c r="A218" s="17" t="inlineStr">
        <is>
          <t>439-26-LP26</t>
        </is>
      </c>
      <c r="B218" s="19" t="inlineStr">
        <is>
          <t>HABILITACIÓN DE PATIOS RECREATIVOS ESCUELA MEC</t>
        </is>
      </c>
      <c r="C218" s="17" t="n">
        <v>0</v>
      </c>
      <c r="D218" s="19" t="inlineStr">
        <is>
          <t>score 0 &lt; 30</t>
        </is>
      </c>
    </row>
    <row r="219">
      <c r="A219" s="17" t="inlineStr">
        <is>
          <t>4451-102-LE26</t>
        </is>
      </c>
      <c r="B219" s="19" t="inlineStr">
        <is>
          <t>Reparación de cubiertas de edificio Polideportivo</t>
        </is>
      </c>
      <c r="C219" s="17" t="n">
        <v>8</v>
      </c>
      <c r="D219" s="19" t="inlineStr">
        <is>
          <t>solo mencion de inmueble, sin servicio inmobiliario</t>
        </is>
      </c>
    </row>
    <row r="220">
      <c r="A220" s="17" t="inlineStr">
        <is>
          <t>4494-64-LP26</t>
        </is>
      </c>
      <c r="B220" s="19" t="inlineStr">
        <is>
          <t>REHABILITACION VIAL INCENDIOS FORESTALES LIRQUEN</t>
        </is>
      </c>
      <c r="C220" s="17" t="n">
        <v>0</v>
      </c>
      <c r="D220" s="19" t="inlineStr">
        <is>
          <t>score 0 &lt; 30</t>
        </is>
      </c>
    </row>
    <row r="221">
      <c r="A221" s="17" t="inlineStr">
        <is>
          <t>4494-65-LP26</t>
        </is>
      </c>
      <c r="B221" s="19" t="inlineStr">
        <is>
          <t>REHABILITACION VIAL INCENDIOS FORESTALES PENCO</t>
        </is>
      </c>
      <c r="C221" s="17" t="n">
        <v>0</v>
      </c>
      <c r="D221" s="19" t="inlineStr">
        <is>
          <t>score 0 &lt; 30</t>
        </is>
      </c>
    </row>
    <row r="222">
      <c r="A222" s="17" t="inlineStr">
        <is>
          <t>45-45-LR26</t>
        </is>
      </c>
      <c r="B222" s="19" t="inlineStr">
        <is>
          <t>SERVICIO DE SEGURIDAD FISICA PARA DEPENDENCIAS DEL SENCE NIVEL CENTRAL Y DIRECCION REGIONAL METROPOLITANA</t>
        </is>
      </c>
      <c r="C222" s="17" t="n">
        <v>8</v>
      </c>
      <c r="D222" s="19" t="inlineStr">
        <is>
          <t>solo mencion de inmueble, sin servicio inmobiliario</t>
        </is>
      </c>
    </row>
    <row r="223">
      <c r="A223" s="17" t="inlineStr">
        <is>
          <t>4590-16-LE26</t>
        </is>
      </c>
      <c r="B223" s="19" t="inlineStr">
        <is>
          <t xml:space="preserve">80 días de arriendo de rodillo liso vibratorio </t>
        </is>
      </c>
      <c r="C223" s="17" t="n">
        <v>0</v>
      </c>
      <c r="D223" s="19" t="inlineStr">
        <is>
          <t>score 0 &lt; 30</t>
        </is>
      </c>
    </row>
    <row r="224">
      <c r="A224" s="17" t="inlineStr">
        <is>
          <t>4644-8-LP26</t>
        </is>
      </c>
      <c r="B224" s="19" t="inlineStr">
        <is>
          <t>TRANSPORTE-CONTRATISTAS Y ARRIENDO MAQ FORESTAL</t>
        </is>
      </c>
      <c r="C224" s="17" t="n">
        <v>0</v>
      </c>
      <c r="D224" s="19" t="inlineStr">
        <is>
          <t>score 0 &lt; 30</t>
        </is>
      </c>
    </row>
    <row r="225">
      <c r="A225" s="17" t="inlineStr">
        <is>
          <t>4686-30-LE26</t>
        </is>
      </c>
      <c r="B225" s="19" t="inlineStr">
        <is>
          <t>Servicio de arrendamiento de bodegas</t>
        </is>
      </c>
      <c r="C225" s="17" t="n">
        <v>19</v>
      </c>
      <c r="D225" s="19" t="inlineStr">
        <is>
          <t>score 19 &lt; 30</t>
        </is>
      </c>
    </row>
    <row r="226">
      <c r="A226" s="17" t="inlineStr">
        <is>
          <t>4803-29-LP26</t>
        </is>
      </c>
      <c r="B226" s="19" t="inlineStr">
        <is>
          <t>SERVICIOS PROFESIONALES Y ARRIENDO DE EQUIPAMIENTO</t>
        </is>
      </c>
      <c r="C226" s="17" t="n">
        <v>0</v>
      </c>
      <c r="D226" s="19" t="inlineStr">
        <is>
          <t>score 0 &lt; 30</t>
        </is>
      </c>
    </row>
    <row r="227">
      <c r="A227" s="17" t="inlineStr">
        <is>
          <t>4967-35-LP26</t>
        </is>
      </c>
      <c r="B227" s="19" t="inlineStr">
        <is>
          <t>CONVENIO DE SUMINISTRO DE CÁNULAS DE ALTO FLUJO CON EQUIPO EN COMODATO</t>
        </is>
      </c>
      <c r="C227" s="17" t="n">
        <v>0</v>
      </c>
      <c r="D227" s="19" t="inlineStr">
        <is>
          <t>score 0 &lt; 30</t>
        </is>
      </c>
    </row>
    <row r="228">
      <c r="A228" s="17" t="inlineStr">
        <is>
          <t>4988-34-LE26</t>
        </is>
      </c>
      <c r="B228" s="19" t="inlineStr">
        <is>
          <t>REPARACIÓN Y MANTENIMIENTO CALDERAS DE DEPENDENCIAS MUNICIPALES</t>
        </is>
      </c>
      <c r="C228" s="17" t="n">
        <v>8</v>
      </c>
      <c r="D228" s="19" t="inlineStr">
        <is>
          <t>solo mencion de inmueble, sin servicio inmobiliario</t>
        </is>
      </c>
    </row>
    <row r="229">
      <c r="A229" s="17" t="inlineStr">
        <is>
          <t>5048-51-O126</t>
        </is>
      </c>
      <c r="B229" s="19" t="inlineStr">
        <is>
          <t>AIF TRES VENTANAS TRAMO 2</t>
        </is>
      </c>
      <c r="C229" s="17" t="n">
        <v>0</v>
      </c>
      <c r="D229" s="19" t="inlineStr">
        <is>
          <t>score 0 &lt; 30</t>
        </is>
      </c>
    </row>
    <row r="230">
      <c r="A230" s="17" t="inlineStr">
        <is>
          <t>5056-110-LP26</t>
        </is>
      </c>
      <c r="B230" s="19" t="inlineStr">
        <is>
          <t>Servicio de traslado para Funcionarios y Personal hospitalario del hrt</t>
        </is>
      </c>
      <c r="C230" s="17" t="n">
        <v>0</v>
      </c>
      <c r="D230" s="19" t="inlineStr">
        <is>
          <t>score 0 &lt; 30</t>
        </is>
      </c>
    </row>
    <row r="231">
      <c r="A231" s="17" t="inlineStr">
        <is>
          <t>5056-116-LE26</t>
        </is>
      </c>
      <c r="B231" s="19" t="inlineStr">
        <is>
          <t>COMPRA DE SERVICIOS DE TRASLADO DE PACIENTES FALLECIDOS</t>
        </is>
      </c>
      <c r="C231" s="17" t="n">
        <v>0</v>
      </c>
      <c r="D231" s="19" t="inlineStr">
        <is>
          <t>score 0 &lt; 30</t>
        </is>
      </c>
    </row>
    <row r="232">
      <c r="A232" s="17" t="inlineStr">
        <is>
          <t>507428-115-LP26</t>
        </is>
      </c>
      <c r="B232" s="19" t="inlineStr">
        <is>
          <t>ADQUISICIÓN DE EQUIPOS DE REHABILITACIÓN NHA</t>
        </is>
      </c>
      <c r="C232" s="17" t="n">
        <v>0</v>
      </c>
      <c r="D232" s="19" t="inlineStr">
        <is>
          <t>score 0 &lt; 30</t>
        </is>
      </c>
    </row>
    <row r="233">
      <c r="A233" s="17" t="inlineStr">
        <is>
          <t>514862-128-LE26</t>
        </is>
      </c>
      <c r="B233" s="19" t="inlineStr">
        <is>
          <t>10032629 ARRIENDO DE BODEGA PARA FÁRMACOS E INSUMO</t>
        </is>
      </c>
      <c r="C233" s="17" t="n">
        <v>19</v>
      </c>
      <c r="D233" s="19" t="inlineStr">
        <is>
          <t>score 19 &lt; 30</t>
        </is>
      </c>
    </row>
    <row r="234">
      <c r="A234" s="17" t="inlineStr">
        <is>
          <t>5209-7-LR26</t>
        </is>
      </c>
      <c r="B234" s="19" t="inlineStr">
        <is>
          <t>SUMINISTRO DE PROPOFOL 1% Y 2% CON EQUIPO COMODATO</t>
        </is>
      </c>
      <c r="C234" s="17" t="n">
        <v>0</v>
      </c>
      <c r="D234" s="19" t="inlineStr">
        <is>
          <t>score 0 &lt; 30</t>
        </is>
      </c>
    </row>
    <row r="235">
      <c r="A235" s="17" t="inlineStr">
        <is>
          <t>5240-102-LR26</t>
        </is>
      </c>
      <c r="B235" s="19" t="inlineStr">
        <is>
          <t>CONTRATACIÓN DEL SERVICIO DE TRASLADO Y APOYO LOGÍSTICO DEL SEMINARIO INTERNACIONAL AÑO 2026 DE LA ESCUELA DE CARABINEROS DE CHILE</t>
        </is>
      </c>
      <c r="C235" s="17" t="n">
        <v>0</v>
      </c>
      <c r="D235" s="19" t="inlineStr">
        <is>
          <t>score 0 &lt; 30</t>
        </is>
      </c>
    </row>
    <row r="236">
      <c r="A236" s="17" t="inlineStr">
        <is>
          <t>525512-39-LE26</t>
        </is>
      </c>
      <c r="B236" s="19" t="inlineStr">
        <is>
          <t>Formulación y Elaboración de diseño proyecto Construcción sede social JJVV N°2 de Colchane comuna de Colchane</t>
        </is>
      </c>
      <c r="C236" s="17" t="n">
        <v>8</v>
      </c>
      <c r="D236" s="19" t="inlineStr">
        <is>
          <t>solo mencion de inmueble, sin servicio inmobiliario</t>
        </is>
      </c>
    </row>
    <row r="237">
      <c r="A237" s="17" t="inlineStr">
        <is>
          <t>528208-35-LP26</t>
        </is>
      </c>
      <c r="B237" s="19" t="inlineStr">
        <is>
          <t>HABILITACIÓN DE CRUCE SEMAFORIZADO EN CALLES SALVADOR GUTIÉRREZ - RESBALÓN - FANALOZA</t>
        </is>
      </c>
      <c r="C237" s="17" t="n">
        <v>0</v>
      </c>
      <c r="D237" s="19" t="inlineStr">
        <is>
          <t>score 0 &lt; 30</t>
        </is>
      </c>
    </row>
    <row r="238">
      <c r="A238" s="17" t="inlineStr">
        <is>
          <t>5300-66-LP26</t>
        </is>
      </c>
      <c r="B238" s="19" t="inlineStr">
        <is>
          <t>CONSTRUCCION SSHH ESTADIO MUNICIPAL DE CASABLANCA</t>
        </is>
      </c>
      <c r="C238" s="17" t="n">
        <v>5</v>
      </c>
      <c r="D238" s="19" t="inlineStr">
        <is>
          <t>solo mencion de inmueble, sin servicio inmobiliario</t>
        </is>
      </c>
    </row>
    <row r="239">
      <c r="A239" s="17" t="inlineStr">
        <is>
          <t>539119-90-LE26</t>
        </is>
      </c>
      <c r="B239" s="19" t="inlineStr">
        <is>
          <t>PROYECTO DE ADQUISICIÓN INSTALACIÓN Y PUESTA EN MARCHA DE TOBOGÁN PARA PISCINAS DE LA COMISIÓN ADMINISTRATIVA CLUB DE CAMPO CUMBRES ADMINISTRADO POR EL DEPARTAMENTO RECREACIONAL Y GASTRONÓMICO B.1. DE LA DIRECCIÓN DE BIENESTAR DE CARABINEROS</t>
        </is>
      </c>
      <c r="C239" s="17" t="n">
        <v>5</v>
      </c>
      <c r="D239" s="19" t="inlineStr">
        <is>
          <t>solo mencion de inmueble, sin servicio inmobiliario</t>
        </is>
      </c>
    </row>
    <row r="240">
      <c r="A240" s="17" t="inlineStr">
        <is>
          <t>539119-91-LE26</t>
        </is>
      </c>
      <c r="B240" s="19" t="inlineStr">
        <is>
          <t>SERVICIO DE MANTENCIÓN PREVENTIVA MENSUAL DE SALAS DE BOMBAS DE AGUA POTABLE Y AGUAS SERVIDAS DE DIFERENTES CONJUNTOS HABITACIONALES DE LA REGION METROPOLITANA ADMINISTRADOS POR EL DEPARTAMENTO GESTIÓN DE VIVIENDA Y POBLACIONES B.4.</t>
        </is>
      </c>
      <c r="C240" s="17" t="n">
        <v>5</v>
      </c>
      <c r="D240" s="19" t="inlineStr">
        <is>
          <t>solo mencion de inmueble, sin servicio inmobiliario</t>
        </is>
      </c>
    </row>
    <row r="241">
      <c r="A241" s="17" t="inlineStr">
        <is>
          <t>5420-22-LP26</t>
        </is>
      </c>
      <c r="B241" s="19" t="inlineStr">
        <is>
          <t>Arriendo de enlace de voz y datos</t>
        </is>
      </c>
      <c r="C241" s="17" t="n">
        <v>16</v>
      </c>
      <c r="D241" s="19" t="inlineStr">
        <is>
          <t>score 16 &lt; 30</t>
        </is>
      </c>
    </row>
    <row r="242">
      <c r="A242" s="17" t="inlineStr">
        <is>
          <t>547640-16-L126</t>
        </is>
      </c>
      <c r="B242" s="19" t="inlineStr">
        <is>
          <t xml:space="preserve">MEJORAMIENTO Y HABILITACIÓN CASA DE SALUD MENTAL </t>
        </is>
      </c>
      <c r="C242" s="17" t="n">
        <v>17</v>
      </c>
      <c r="D242" s="19" t="inlineStr">
        <is>
          <t>score 17 &lt; 30</t>
        </is>
      </c>
    </row>
    <row r="243">
      <c r="A243" s="17" t="inlineStr">
        <is>
          <t>548874-70-LR26</t>
        </is>
      </c>
      <c r="B243" s="19" t="inlineStr">
        <is>
          <t>SERV MULTIBAM SUCURSALES Y GOBIERNOS EN TERRENO</t>
        </is>
      </c>
      <c r="C243" s="17" t="n">
        <v>9</v>
      </c>
      <c r="D243" s="19" t="inlineStr">
        <is>
          <t>solo mencion de inmueble, sin servicio inmobiliario</t>
        </is>
      </c>
    </row>
    <row r="244">
      <c r="A244" s="17" t="inlineStr">
        <is>
          <t>5510-7-LR26</t>
        </is>
      </c>
      <c r="B244" s="19" t="inlineStr">
        <is>
          <t>HABILITACIÓN CAFETERÍA ZÓCALO TORRE JEA - FCFM</t>
        </is>
      </c>
      <c r="C244" s="17" t="n">
        <v>0</v>
      </c>
      <c r="D244" s="19" t="inlineStr">
        <is>
          <t>score 0 &lt; 30</t>
        </is>
      </c>
    </row>
    <row r="245">
      <c r="A245" s="17" t="inlineStr">
        <is>
          <t>5558-10-L126</t>
        </is>
      </c>
      <c r="B245" s="19" t="inlineStr">
        <is>
          <t>SERVICIO DE IMPLEMENTACIÓN PUNTO VERDE Y SERVICIO DE RECICLAJE PARA DEPENDENCIAS DEL INSTITUTO DE SEGURIDAD LABORAL EN LA REGIÓN DE LA ARAUCANÍA</t>
        </is>
      </c>
      <c r="C245" s="17" t="n">
        <v>8</v>
      </c>
      <c r="D245" s="19" t="inlineStr">
        <is>
          <t>solo mencion de inmueble, sin servicio inmobiliario</t>
        </is>
      </c>
    </row>
    <row r="246">
      <c r="A246" s="17" t="inlineStr">
        <is>
          <t>557639-86-LE26</t>
        </is>
      </c>
      <c r="B246" s="19" t="inlineStr">
        <is>
          <t>SERVICIO TRASLADO DE FUNCIONARIOS</t>
        </is>
      </c>
      <c r="C246" s="17" t="n">
        <v>0</v>
      </c>
      <c r="D246" s="19" t="inlineStr">
        <is>
          <t>score 0 &lt; 30</t>
        </is>
      </c>
    </row>
    <row r="247">
      <c r="A247" s="17" t="inlineStr">
        <is>
          <t>5590-2-LE26</t>
        </is>
      </c>
      <c r="B247" s="19" t="inlineStr">
        <is>
          <t>Habilitación de Laboratorio FIRC</t>
        </is>
      </c>
      <c r="C247" s="17" t="n">
        <v>0</v>
      </c>
      <c r="D247" s="19" t="inlineStr">
        <is>
          <t>score 0 &lt; 30</t>
        </is>
      </c>
    </row>
    <row r="248">
      <c r="A248" s="17" t="inlineStr">
        <is>
          <t>5596-5-LP26</t>
        </is>
      </c>
      <c r="B248" s="19" t="inlineStr">
        <is>
          <t>INVENTARIO PATRIMONIO CULTURAL INMUEBLE AYP.</t>
        </is>
      </c>
      <c r="C248" s="17" t="n">
        <v>26</v>
      </c>
      <c r="D248" s="19" t="inlineStr">
        <is>
          <t>score 26 &lt; 30</t>
        </is>
      </c>
    </row>
    <row r="249">
      <c r="A249" s="17" t="inlineStr">
        <is>
          <t>564953-71-LP26</t>
        </is>
      </c>
      <c r="B249" s="19" t="inlineStr">
        <is>
          <t>HABILITACIÓN FARMACIA COMUNAL COLON</t>
        </is>
      </c>
      <c r="C249" s="17" t="n">
        <v>0</v>
      </c>
      <c r="D249" s="19" t="inlineStr">
        <is>
          <t>score 0 &lt; 30</t>
        </is>
      </c>
    </row>
    <row r="250">
      <c r="A250" s="17" t="inlineStr">
        <is>
          <t>568658-43-LR26</t>
        </is>
      </c>
      <c r="B250" s="19" t="inlineStr">
        <is>
          <t xml:space="preserve">COMODATO DE EQUIPAMIENTO MICROBIOLOGIA </t>
        </is>
      </c>
      <c r="C250" s="17" t="n">
        <v>0</v>
      </c>
      <c r="D250" s="19" t="inlineStr">
        <is>
          <t>score 0 &lt; 30</t>
        </is>
      </c>
    </row>
    <row r="251">
      <c r="A251" s="17" t="inlineStr">
        <is>
          <t>5688-5-LE26</t>
        </is>
      </c>
      <c r="B251" s="19" t="inlineStr">
        <is>
          <t xml:space="preserve">LE SERVICIO DE CAMARAS ALARMAS Y MONITOREO PARA OFICINAS EN COMUNAS </t>
        </is>
      </c>
      <c r="C251" s="17" t="n">
        <v>10</v>
      </c>
      <c r="D251" s="19" t="inlineStr">
        <is>
          <t>solo mencion de inmueble, sin servicio inmobiliario</t>
        </is>
      </c>
    </row>
    <row r="252">
      <c r="A252" s="17" t="inlineStr">
        <is>
          <t>5839-6-LR26</t>
        </is>
      </c>
      <c r="B252" s="19" t="inlineStr">
        <is>
          <t>Suministro Test reportado y Eq. comodato B. Sangre</t>
        </is>
      </c>
      <c r="C252" s="17" t="n">
        <v>0</v>
      </c>
      <c r="D252" s="19" t="inlineStr">
        <is>
          <t>score 0 &lt; 30</t>
        </is>
      </c>
    </row>
    <row r="253">
      <c r="A253" s="17" t="inlineStr">
        <is>
          <t>5858-6-LP26</t>
        </is>
      </c>
      <c r="B253" s="19" t="inlineStr">
        <is>
          <t>MEJORAMIENTO SEDE SOCIAL LOCALIDAD CERRO BLANCO-O</t>
        </is>
      </c>
      <c r="C253" s="17" t="n">
        <v>11</v>
      </c>
      <c r="D253" s="19" t="inlineStr">
        <is>
          <t>score 11 &lt; 30</t>
        </is>
      </c>
    </row>
    <row r="254">
      <c r="A254" s="17" t="inlineStr">
        <is>
          <t>591-33-LP26</t>
        </is>
      </c>
      <c r="B254" s="19" t="inlineStr">
        <is>
          <t>HABILITACIÓN PISO 7 – OFICINAS Y SALA MULTIUSO PARA EL FONASA</t>
        </is>
      </c>
      <c r="C254" s="17" t="n">
        <v>16</v>
      </c>
      <c r="D254" s="19" t="inlineStr">
        <is>
          <t>score 16 &lt; 30</t>
        </is>
      </c>
    </row>
    <row r="255">
      <c r="A255" s="17" t="inlineStr">
        <is>
          <t>592-18-LP26</t>
        </is>
      </c>
      <c r="B255" s="19" t="inlineStr">
        <is>
          <t>Servicio de Obras Menores en edificio NC y Otras</t>
        </is>
      </c>
      <c r="C255" s="17" t="n">
        <v>8</v>
      </c>
      <c r="D255" s="19" t="inlineStr">
        <is>
          <t>solo mencion de inmueble, sin servicio inmobiliario</t>
        </is>
      </c>
    </row>
    <row r="256">
      <c r="A256" s="17" t="inlineStr">
        <is>
          <t>614795-7-LE26</t>
        </is>
      </c>
      <c r="B256" s="19" t="inlineStr">
        <is>
          <t>Inventario de Emisiones art 73 DS 18-23</t>
        </is>
      </c>
      <c r="C256" s="17" t="n">
        <v>0</v>
      </c>
      <c r="D256" s="19" t="inlineStr">
        <is>
          <t>score 0 &lt; 30</t>
        </is>
      </c>
    </row>
    <row r="257">
      <c r="A257" s="17" t="inlineStr">
        <is>
          <t>633-54-LP26</t>
        </is>
      </c>
      <c r="B257" s="19" t="inlineStr">
        <is>
          <t>CONVENIO DE SUMINISTRO SERVICIO DE ARRIENDO DE MOD</t>
        </is>
      </c>
      <c r="C257" s="17" t="n">
        <v>0</v>
      </c>
      <c r="D257" s="19" t="inlineStr">
        <is>
          <t>score 0 &lt; 30</t>
        </is>
      </c>
    </row>
    <row r="258">
      <c r="A258" s="17" t="inlineStr">
        <is>
          <t>638-14-O126</t>
        </is>
      </c>
      <c r="B258" s="19" t="inlineStr">
        <is>
          <t>CONSTRUCCIÓN EDIFICIO INSTITUCIONAL MINVU MAGALLANES Y ANTÁRTICA CHILENA</t>
        </is>
      </c>
      <c r="C258" s="17" t="n">
        <v>8</v>
      </c>
      <c r="D258" s="19" t="inlineStr">
        <is>
          <t>solo mencion de inmueble, sin servicio inmobiliario</t>
        </is>
      </c>
    </row>
    <row r="259">
      <c r="A259" s="17" t="inlineStr">
        <is>
          <t>653-15-O126</t>
        </is>
      </c>
      <c r="B259" s="19" t="inlineStr">
        <is>
          <t>Habilitación de Terrenos Etapa V Lote D y E, Las Americas, Talca</t>
        </is>
      </c>
      <c r="C259" s="17" t="n">
        <v>15</v>
      </c>
      <c r="D259" s="19" t="inlineStr">
        <is>
          <t>score 15 &lt; 30</t>
        </is>
      </c>
    </row>
    <row r="260">
      <c r="A260" s="17" t="inlineStr">
        <is>
          <t>657-7-LE26</t>
        </is>
      </c>
      <c r="B260" s="19" t="inlineStr">
        <is>
          <t>FTO DS49 CS Nuevos terrenos Chile Chico Serviu</t>
        </is>
      </c>
      <c r="C260" s="17" t="n">
        <v>9</v>
      </c>
      <c r="D260" s="19" t="inlineStr">
        <is>
          <t>solo mencion de inmueble, sin servicio inmobiliario</t>
        </is>
      </c>
    </row>
    <row r="261">
      <c r="A261" s="17" t="inlineStr">
        <is>
          <t>696961-4-LP26</t>
        </is>
      </c>
      <c r="B261" s="19" t="inlineStr">
        <is>
          <t>HABILITACIÓN DE OFICINAS PROYECTO CENTRALIZADO</t>
        </is>
      </c>
      <c r="C261" s="17" t="n">
        <v>16</v>
      </c>
      <c r="D261" s="19" t="inlineStr">
        <is>
          <t>score 16 &lt; 30</t>
        </is>
      </c>
    </row>
    <row r="262">
      <c r="A262" s="17" t="inlineStr">
        <is>
          <t>697055-7-LE26</t>
        </is>
      </c>
      <c r="B262" s="19" t="inlineStr">
        <is>
          <t xml:space="preserve">HABILITACION SALA ENTREVISTA VIDEO GRABADA </t>
        </is>
      </c>
      <c r="C262" s="17" t="n">
        <v>0</v>
      </c>
      <c r="D262" s="19" t="inlineStr">
        <is>
          <t>score 0 &lt; 30</t>
        </is>
      </c>
    </row>
    <row r="263">
      <c r="A263" s="17" t="inlineStr">
        <is>
          <t>697055-8-LE26</t>
        </is>
      </c>
      <c r="B263" s="19" t="inlineStr">
        <is>
          <t>HABILITACION DE OFICINA PARA LA FISCALIA REGIONAL</t>
        </is>
      </c>
      <c r="C263" s="17" t="n">
        <v>16</v>
      </c>
      <c r="D263" s="19" t="inlineStr">
        <is>
          <t>score 16 &lt; 30</t>
        </is>
      </c>
    </row>
    <row r="264">
      <c r="A264" s="17" t="inlineStr">
        <is>
          <t>707419-43-L126</t>
        </is>
      </c>
      <c r="B264" s="19" t="inlineStr">
        <is>
          <t>MANTENIMIENTO PREVENTIVO Y CORRECTIVO PARA HIDROPACK Y EQUIPOS DE BOMBEO DE AGUA POTABLE Y LIMPIEZA DE ESTANQUE DE ACUMULACIÓN, UBICADOS EN JARDINES INFANTILES, SALAS CUNA Y OFICINAS REGIONALES DE FUNDACIÓN INTEGRA, REGIÓN DE VALPARAÍSO”</t>
        </is>
      </c>
      <c r="C264" s="17" t="n">
        <v>10</v>
      </c>
      <c r="D264" s="19" t="inlineStr">
        <is>
          <t>solo mencion de inmueble, sin servicio inmobiliario</t>
        </is>
      </c>
    </row>
    <row r="265">
      <c r="A265" s="17" t="inlineStr">
        <is>
          <t>707426-38-L126</t>
        </is>
      </c>
      <c r="B265" s="19" t="inlineStr">
        <is>
          <t>Construcción de cierre perimetral y limpieza de terreno en la localidad de Melinka Comuna de Guaitecas Fundación Integra en la Región de Aysén.</t>
        </is>
      </c>
      <c r="C265" s="17" t="n">
        <v>9</v>
      </c>
      <c r="D265" s="19" t="inlineStr">
        <is>
          <t>solo mencion de inmueble, sin servicio inmobiliario</t>
        </is>
      </c>
    </row>
    <row r="266">
      <c r="A266" s="17" t="inlineStr">
        <is>
          <t>727202-75-LE26</t>
        </is>
      </c>
      <c r="B266" s="19" t="inlineStr">
        <is>
          <t>HABILITACIÓN PUNTOS DE CÁMARAS Y SALA DE MONITOREO</t>
        </is>
      </c>
      <c r="C266" s="17" t="n">
        <v>0</v>
      </c>
      <c r="D266" s="19" t="inlineStr">
        <is>
          <t>score 0 &lt; 30</t>
        </is>
      </c>
    </row>
    <row r="267">
      <c r="A267" s="17" t="inlineStr">
        <is>
          <t>732434-24-I226</t>
        </is>
      </c>
      <c r="B267" s="19" t="inlineStr">
        <is>
          <t>3er llamado: Arriendo de Cámaras Frías para el CSC</t>
        </is>
      </c>
      <c r="C267" s="17" t="n">
        <v>0</v>
      </c>
      <c r="D267" s="19" t="inlineStr">
        <is>
          <t>score 0 &lt; 30</t>
        </is>
      </c>
    </row>
    <row r="268">
      <c r="A268" s="17" t="inlineStr">
        <is>
          <t>732515-2-L126</t>
        </is>
      </c>
      <c r="B268" s="19" t="inlineStr">
        <is>
          <t>CONVENIO DE SUMINISTRO EN ADQUISICION DE MATERIALES DE USO Y CONSUMO PARA EL PROGRAMA DE GOBIERNO EN TERRENO 2026 - 2027, CON DESPACHO A TAMARUGAL NRO 180.</t>
        </is>
      </c>
      <c r="C268" s="17" t="n">
        <v>9</v>
      </c>
      <c r="D268" s="19" t="inlineStr">
        <is>
          <t>solo mencion de inmueble, sin servicio inmobiliario</t>
        </is>
      </c>
    </row>
    <row r="269">
      <c r="A269" s="17" t="inlineStr">
        <is>
          <t>800-7-B226</t>
        </is>
      </c>
      <c r="B269" s="19" t="inlineStr">
        <is>
          <t>SUMINISTRO DE BAJADAS DE BOMBAS DE INFUSION CONTINUA DE ANALGESIA CONTROLADA POR EL PACIENTE CON EQUIPO EN COMODATO</t>
        </is>
      </c>
      <c r="C269" s="17" t="n">
        <v>0</v>
      </c>
      <c r="D269" s="19" t="inlineStr">
        <is>
          <t>score 0 &lt; 30</t>
        </is>
      </c>
    </row>
    <row r="270">
      <c r="A270" s="17" t="inlineStr">
        <is>
          <t>813-103-LP26</t>
        </is>
      </c>
      <c r="B270" s="19" t="inlineStr">
        <is>
          <t>PP 53.2026 Adquisición material de laboratorio para el Departamento de Salud Ocupacional E102RT9.</t>
        </is>
      </c>
      <c r="C270" s="17" t="n">
        <v>5</v>
      </c>
      <c r="D270" s="19" t="inlineStr">
        <is>
          <t>solo mencion de inmueble, sin servicio inmobiliario</t>
        </is>
      </c>
    </row>
    <row r="271">
      <c r="A271" s="17" t="inlineStr">
        <is>
          <t>813-35-LP26</t>
        </is>
      </c>
      <c r="B271" s="19" t="inlineStr">
        <is>
          <t>PP 47-2026 Reactivos Departamento Salud Ambiental</t>
        </is>
      </c>
      <c r="C271" s="17" t="n">
        <v>5</v>
      </c>
      <c r="D271" s="19" t="inlineStr">
        <is>
          <t>solo mencion de inmueble, sin servicio inmobiliario</t>
        </is>
      </c>
    </row>
    <row r="272">
      <c r="A272" s="17" t="inlineStr">
        <is>
          <t>820-3-O126</t>
        </is>
      </c>
      <c r="B272" s="19" t="inlineStr">
        <is>
          <t>RESTAURACIÓN Y HABILITACIÓN BIBLIOTECA MUNICIPAL EX ESCUELA 3, HUASCO</t>
        </is>
      </c>
      <c r="C272" s="17" t="n">
        <v>0</v>
      </c>
      <c r="D272" s="19" t="inlineStr">
        <is>
          <t>score 0 &lt; 30</t>
        </is>
      </c>
    </row>
    <row r="273">
      <c r="A273" s="17" t="inlineStr">
        <is>
          <t>829-2-O126</t>
        </is>
      </c>
      <c r="B273" s="19" t="inlineStr">
        <is>
          <t>HABILITACION Y AMPLIACION EDIFICIO GORE MAGALLANES-2DO LLAMADO</t>
        </is>
      </c>
      <c r="C273" s="17" t="n">
        <v>14</v>
      </c>
      <c r="D273" s="19" t="inlineStr">
        <is>
          <t>score 14 &lt; 30</t>
        </is>
      </c>
    </row>
    <row r="274">
      <c r="A274" s="17" t="inlineStr">
        <is>
          <t>839186-11-LP26</t>
        </is>
      </c>
      <c r="B274" s="19" t="inlineStr">
        <is>
          <t>2 LLAMADO HABILITACIÓN CANCHA DE FÚTBOL Y CIERRE</t>
        </is>
      </c>
      <c r="C274" s="17" t="n">
        <v>0</v>
      </c>
      <c r="D274" s="19" t="inlineStr">
        <is>
          <t>score 0 &lt; 30</t>
        </is>
      </c>
    </row>
    <row r="275">
      <c r="A275" s="17" t="inlineStr">
        <is>
          <t>854-29-LE26</t>
        </is>
      </c>
      <c r="B275" s="19" t="inlineStr">
        <is>
          <t>ARRIENDO ESPACIO RADIAL JARDIN DISTANCIA JUNJI XI.</t>
        </is>
      </c>
      <c r="C275" s="17" t="n">
        <v>0</v>
      </c>
      <c r="D275" s="19" t="inlineStr">
        <is>
          <t>score 0 &lt; 30</t>
        </is>
      </c>
    </row>
    <row r="276">
      <c r="A276" s="17" t="inlineStr">
        <is>
          <t>875646-69-LP26</t>
        </is>
      </c>
      <c r="B276" s="19" t="inlineStr">
        <is>
          <t>JCB. Servicio de arriendo de sistema RISPACS</t>
        </is>
      </c>
      <c r="C276" s="17" t="n">
        <v>0</v>
      </c>
      <c r="D276" s="19" t="inlineStr">
        <is>
          <t>score 0 &lt; 30</t>
        </is>
      </c>
    </row>
    <row r="277">
      <c r="A277" s="17" t="inlineStr">
        <is>
          <t>886954-294-LP26</t>
        </is>
      </c>
      <c r="B277" s="19" t="inlineStr">
        <is>
          <t>Conv. Suministro Prótesis Para U. Medicina Fisica y Rehabilitación del HGGB</t>
        </is>
      </c>
      <c r="C277" s="17" t="n">
        <v>0</v>
      </c>
      <c r="D277" s="19" t="inlineStr">
        <is>
          <t>score 0 &lt; 30</t>
        </is>
      </c>
    </row>
    <row r="278">
      <c r="A278" s="17" t="inlineStr">
        <is>
          <t>886954-298-LP26</t>
        </is>
      </c>
      <c r="B278" s="19" t="inlineStr">
        <is>
          <t>Convenio Suministro de Cataratas con Equipos en Comodatos</t>
        </is>
      </c>
      <c r="C278" s="17" t="n">
        <v>0</v>
      </c>
      <c r="D278" s="19" t="inlineStr">
        <is>
          <t>score 0 &lt; 30</t>
        </is>
      </c>
    </row>
    <row r="279">
      <c r="A279" s="17" t="inlineStr">
        <is>
          <t>889473-54-LP26</t>
        </is>
      </c>
      <c r="B279" s="19" t="inlineStr">
        <is>
          <t>SC 6506 - 8599 Levan. Inventario y Sistema de Gest</t>
        </is>
      </c>
      <c r="C279" s="17" t="n">
        <v>10</v>
      </c>
      <c r="D279" s="19" t="inlineStr">
        <is>
          <t>score 10 &lt; 30</t>
        </is>
      </c>
    </row>
    <row r="280">
      <c r="A280" s="17" t="inlineStr">
        <is>
          <t>898-181-LP26</t>
        </is>
      </c>
      <c r="B280" s="19" t="inlineStr">
        <is>
          <t>Servicios de Laboratorio Dental con Equipo en Comodato</t>
        </is>
      </c>
      <c r="C280" s="17" t="n">
        <v>0</v>
      </c>
      <c r="D280" s="19" t="inlineStr">
        <is>
          <t>score 0 &lt; 30</t>
        </is>
      </c>
    </row>
    <row r="281">
      <c r="A281" s="17" t="inlineStr">
        <is>
          <t>899-42-LP26</t>
        </is>
      </c>
      <c r="B281" s="19" t="inlineStr">
        <is>
          <t>“Servicio de Mantenimiento de Infraestructura para el Hospital San José de Casablanca por 24 meses”</t>
        </is>
      </c>
      <c r="C281" s="17" t="n">
        <v>5</v>
      </c>
      <c r="D281" s="19" t="inlineStr">
        <is>
          <t>solo mencion de inmueble, sin servicio inmobiliario</t>
        </is>
      </c>
    </row>
    <row r="282">
      <c r="A282" s="17" t="inlineStr">
        <is>
          <t>900-45-LP26</t>
        </is>
      </c>
      <c r="B282" s="19" t="inlineStr">
        <is>
          <t xml:space="preserve">Servicio de Habilitación sala UHCIP </t>
        </is>
      </c>
      <c r="C282" s="17" t="n">
        <v>6</v>
      </c>
      <c r="D282" s="19" t="inlineStr">
        <is>
          <t>score 6 &lt; 30</t>
        </is>
      </c>
    </row>
    <row r="283">
      <c r="A283" s="17" t="inlineStr">
        <is>
          <t>900-62-L126</t>
        </is>
      </c>
      <c r="B283" s="19" t="inlineStr">
        <is>
          <t>HDS - COMPRA DE MATERIALES DE OFICINA, BODEGA DE ABASTECIMIENTO</t>
        </is>
      </c>
      <c r="C283" s="17" t="n">
        <v>10</v>
      </c>
      <c r="D283" s="19" t="inlineStr">
        <is>
          <t>solo mencion de inmueble, sin servicio inmobiliario</t>
        </is>
      </c>
    </row>
    <row r="284">
      <c r="A284" s="17" t="inlineStr">
        <is>
          <t>928-27-LR26</t>
        </is>
      </c>
      <c r="B284" s="19" t="inlineStr">
        <is>
          <t>SERVICIO DE ARRENDAMIENTO DE PERIMETROS FREESTANDING</t>
        </is>
      </c>
      <c r="C284" s="17" t="n">
        <v>0</v>
      </c>
      <c r="D284" s="19" t="inlineStr">
        <is>
          <t>score 0 &lt; 30</t>
        </is>
      </c>
    </row>
    <row r="285">
      <c r="A285" s="17" t="inlineStr">
        <is>
          <t>930-23-LE26</t>
        </is>
      </c>
      <c r="B285" s="19" t="inlineStr">
        <is>
          <t>MANTENCIÓN GENERAL RECINTOS DEPORTIVOS IND AFTA.</t>
        </is>
      </c>
      <c r="C285" s="17" t="n">
        <v>5</v>
      </c>
      <c r="D285" s="19" t="inlineStr">
        <is>
          <t>solo mencion de inmueble, sin servicio inmobiliario</t>
        </is>
      </c>
    </row>
    <row r="286">
      <c r="A286" s="17" t="inlineStr">
        <is>
          <t>935-25-LP26</t>
        </is>
      </c>
      <c r="B286" s="19" t="inlineStr">
        <is>
          <t>MEJORAMIENTO CUBIERTA ZONA OFICINA GIMNASIO FISCAL</t>
        </is>
      </c>
      <c r="C286" s="17" t="n">
        <v>10</v>
      </c>
      <c r="D286" s="19" t="inlineStr">
        <is>
          <t>solo mencion de inmueble, sin servicio inmobiliario</t>
        </is>
      </c>
    </row>
    <row r="287">
      <c r="A287" s="17" t="inlineStr">
        <is>
          <t>935-26-LE26</t>
        </is>
      </c>
      <c r="B287" s="19" t="inlineStr">
        <is>
          <t>SUMINISTRO ART. FERRETERIA RECINTOS IND XII REGION</t>
        </is>
      </c>
      <c r="C287" s="17" t="n">
        <v>5</v>
      </c>
      <c r="D287" s="19" t="inlineStr">
        <is>
          <t>solo mencion de inmueble, sin servicio inmobiliario</t>
        </is>
      </c>
    </row>
    <row r="288">
      <c r="A288" s="17" t="inlineStr">
        <is>
          <t>937232-85-LE26</t>
        </is>
      </c>
      <c r="B288" s="19" t="inlineStr">
        <is>
          <t>SERVICIO DE ARRIENDO DE CAMILLAS DE TRANSPORTE HIDRAULICAS POR 24 MESES</t>
        </is>
      </c>
      <c r="C288" s="17" t="n">
        <v>0</v>
      </c>
      <c r="D288" s="19" t="inlineStr">
        <is>
          <t>score 0 &lt; 30</t>
        </is>
      </c>
    </row>
    <row r="289">
      <c r="A289" s="17" t="inlineStr">
        <is>
          <t>948354-135-LP26</t>
        </is>
      </c>
      <c r="B289" s="19" t="inlineStr">
        <is>
          <t>CONTRATACIÓN DEL SERVICIO DE ARRIENDO DE UNA CABINA SANITARIA CON EQUIPO MAMÓGRAFO PARA USO DE MAMOGRAFÍA DIGITALIZADA PORTÁTIL PARA EL HOSPITAL DIPRECA</t>
        </is>
      </c>
      <c r="C289" s="17" t="n">
        <v>0</v>
      </c>
      <c r="D289" s="19" t="inlineStr">
        <is>
          <t>score 0 &lt; 30</t>
        </is>
      </c>
    </row>
    <row r="290">
      <c r="A290" s="17" t="inlineStr">
        <is>
          <t>979-57-L126</t>
        </is>
      </c>
      <c r="B290" s="19" t="inlineStr">
        <is>
          <t xml:space="preserve"> Adquisición de hojas prepicadas y formularios de denuncios para el Departamento de Pesaje de la Dirección de Vialidad</t>
        </is>
      </c>
      <c r="C290" s="17" t="n">
        <v>5</v>
      </c>
      <c r="D290" s="19" t="inlineStr">
        <is>
          <t>solo mencion de inmueble, sin servicio inmobiliario</t>
        </is>
      </c>
    </row>
    <row r="291">
      <c r="A291" s="17" t="inlineStr">
        <is>
          <t>993-48-LP26</t>
        </is>
      </c>
      <c r="B291" s="19" t="inlineStr">
        <is>
          <t>Servicio de arriendo de 800 horas máquina de 2 excavadoras para la construcción de zanja sector Vallecito Provincia de El Loa Región de Antofagasta.</t>
        </is>
      </c>
      <c r="C291" s="17" t="n">
        <v>0</v>
      </c>
      <c r="D291" s="19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2026-09-26T19:26:29Z</dcterms:created>
  <dcterms:modified xsi:type="dcterms:W3CDTF">2026-09-26T19:26:29Z</dcterms:modified>
</cp:coreProperties>
</file>