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Matches" sheetId="2" state="visible" r:id="rId2"/>
    <sheet name="Historico" sheetId="3" state="visible" r:id="rId3"/>
    <sheet name="Bajo umbral" sheetId="4" state="visible" r:id="rId4"/>
    <sheet name="Descartes (auditoria)" sheetId="5" state="visible" r:id="rId5"/>
  </sheets>
  <definedNames>
    <definedName name="_xlnm._FilterDatabase" localSheetId="1" hidden="1">'Matches'!$A$1:$V$9</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1F3B57"/>
      <sz val="15"/>
    </font>
    <font>
      <name val="Arial"/>
      <color rgb="005A6572"/>
      <sz val="10"/>
    </font>
    <font>
      <name val="Arial"/>
      <b val="1"/>
      <color rgb="00FFFFFF"/>
    </font>
    <font>
      <name val="Arial"/>
      <sz val="10"/>
    </font>
    <font>
      <name val="Arial"/>
      <b val="1"/>
      <sz val="10"/>
    </font>
    <font>
      <name val="Arial"/>
      <i val="1"/>
      <color rgb="005A6572"/>
      <sz val="9"/>
    </font>
    <font>
      <name val="Arial"/>
      <b val="1"/>
      <color rgb="00FFFFFF"/>
      <sz val="10"/>
    </font>
    <font>
      <name val="Arial"/>
      <b val="1"/>
      <color rgb="009AA5B1"/>
      <sz val="11"/>
    </font>
    <font>
      <name val="Arial"/>
      <b val="1"/>
      <color rgb="00A32626"/>
      <sz val="10"/>
    </font>
    <font>
      <name val="Arial"/>
      <color rgb="000563C1"/>
      <sz val="10"/>
      <u val="single"/>
    </font>
    <font>
      <name val="Arial"/>
      <b val="1"/>
      <color rgb="00B7791F"/>
      <sz val="10"/>
    </font>
    <font>
      <name val="Arial"/>
      <b val="1"/>
      <color rgb="001E7A4B"/>
      <sz val="11"/>
    </font>
    <font>
      <name val="Arial"/>
      <b val="1"/>
      <color rgb="001E7A4B"/>
      <sz val="10"/>
    </font>
  </fonts>
  <fills count="7">
    <fill>
      <patternFill/>
    </fill>
    <fill>
      <patternFill patternType="gray125"/>
    </fill>
    <fill>
      <patternFill patternType="solid">
        <fgColor rgb="001F3B57"/>
      </patternFill>
    </fill>
    <fill>
      <patternFill patternType="solid">
        <fgColor rgb="00FFF8E6"/>
      </patternFill>
    </fill>
    <fill>
      <patternFill patternType="solid">
        <fgColor rgb="00FFF4D6"/>
      </patternFill>
    </fill>
    <fill>
      <patternFill patternType="solid">
        <fgColor rgb="00E8F6EE"/>
      </patternFill>
    </fill>
    <fill>
      <patternFill patternType="solid">
        <fgColor rgb="00DCF2E4"/>
      </patternFill>
    </fill>
  </fills>
  <borders count="4">
    <border>
      <left/>
      <right/>
      <top/>
      <bottom/>
      <diagonal/>
    </border>
    <border>
      <bottom style="thin">
        <color rgb="00E3E7EA"/>
      </bottom>
    </border>
    <border>
      <left/>
      <right/>
      <top/>
      <bottom style="thin">
        <color rgb="00E3E7EA"/>
      </bottom>
      <diagonal/>
    </border>
    <border>
      <bottom style="thin">
        <color rgb="00D0D5DA"/>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1" pivotButton="0" quotePrefix="0" xfId="0"/>
    <xf numFmtId="3" fontId="5" fillId="0" borderId="1" pivotButton="0" quotePrefix="0" xfId="0"/>
    <xf numFmtId="0" fontId="6" fillId="0" borderId="1" applyAlignment="1" pivotButton="0" quotePrefix="0" xfId="0">
      <alignment vertical="top" wrapText="1"/>
    </xf>
    <xf numFmtId="0" fontId="0" fillId="0" borderId="2" pivotButton="0" quotePrefix="0" xfId="0"/>
    <xf numFmtId="0" fontId="6" fillId="0" borderId="0" applyAlignment="1" pivotButton="0" quotePrefix="0" xfId="0">
      <alignment vertical="top" wrapText="1"/>
    </xf>
    <xf numFmtId="0" fontId="7" fillId="2" borderId="3" applyAlignment="1" pivotButton="0" quotePrefix="0" xfId="0">
      <alignment vertical="center" wrapText="1"/>
    </xf>
    <xf numFmtId="0" fontId="8" fillId="0" borderId="1" applyAlignment="1" pivotButton="0" quotePrefix="0" xfId="0">
      <alignment horizontal="center" vertical="center"/>
    </xf>
    <xf numFmtId="0" fontId="4" fillId="0" borderId="1" applyAlignment="1" pivotButton="0" quotePrefix="0" xfId="0">
      <alignment vertical="top"/>
    </xf>
    <xf numFmtId="0" fontId="9" fillId="0" borderId="1" applyAlignment="1" pivotButton="0" quotePrefix="0" xfId="0">
      <alignment vertical="top"/>
    </xf>
    <xf numFmtId="0" fontId="4" fillId="0" borderId="1" applyAlignment="1" pivotButton="0" quotePrefix="0" xfId="0">
      <alignment vertical="top" wrapText="1"/>
    </xf>
    <xf numFmtId="0" fontId="10" fillId="0" borderId="1" applyAlignment="1" pivotButton="0" quotePrefix="0" xfId="0">
      <alignment vertical="top"/>
    </xf>
    <xf numFmtId="0" fontId="8" fillId="3" borderId="1" applyAlignment="1" pivotButton="0" quotePrefix="0" xfId="0">
      <alignment horizontal="center" vertical="center"/>
    </xf>
    <xf numFmtId="0" fontId="11" fillId="4" borderId="1" applyAlignment="1" pivotButton="0" quotePrefix="0" xfId="0">
      <alignment vertical="top"/>
    </xf>
    <xf numFmtId="0" fontId="9" fillId="3"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3" fontId="4" fillId="3" borderId="1" applyAlignment="1" pivotButton="0" quotePrefix="0" xfId="0">
      <alignment vertical="top"/>
    </xf>
    <xf numFmtId="0" fontId="10" fillId="3" borderId="1" applyAlignment="1" pivotButton="0" quotePrefix="0" xfId="0">
      <alignment vertical="top"/>
    </xf>
    <xf numFmtId="0" fontId="11" fillId="3" borderId="1" applyAlignment="1" pivotButton="0" quotePrefix="0" xfId="0">
      <alignment vertical="top"/>
    </xf>
    <xf numFmtId="0" fontId="12" fillId="5" borderId="1" applyAlignment="1" pivotButton="0" quotePrefix="0" xfId="0">
      <alignment horizontal="center" vertical="center"/>
    </xf>
    <xf numFmtId="0" fontId="13" fillId="6" borderId="1" applyAlignment="1" pivotButton="0" quotePrefix="0" xfId="0">
      <alignment vertical="top"/>
    </xf>
    <xf numFmtId="0" fontId="11" fillId="5" borderId="1" applyAlignment="1" pivotButton="0" quotePrefix="0" xfId="0">
      <alignment vertical="top"/>
    </xf>
    <xf numFmtId="0" fontId="4" fillId="5" borderId="1" applyAlignment="1" pivotButton="0" quotePrefix="0" xfId="0">
      <alignment vertical="top"/>
    </xf>
    <xf numFmtId="0" fontId="4" fillId="5" borderId="1" applyAlignment="1" pivotButton="0" quotePrefix="0" xfId="0">
      <alignment vertical="top" wrapText="1"/>
    </xf>
    <xf numFmtId="0" fontId="10" fillId="5" borderId="1" applyAlignment="1" pivotButton="0" quotePrefix="0" xfId="0">
      <alignment vertical="top"/>
    </xf>
    <xf numFmtId="0" fontId="11" fillId="0" borderId="1" applyAlignment="1" pivotButton="0" quotePrefix="0" xfId="0">
      <alignment vertical="top"/>
    </xf>
    <xf numFmtId="3" fontId="4" fillId="0" borderId="1" applyAlignment="1" pivotButton="0" quotePrefix="0" xfId="0">
      <alignment vertical="top"/>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ercadopublico.cl/Procurement/Modules/RFB/DetailsAcquisition.aspx?idlicitacion=1743-64-LE26" TargetMode="External" Id="rId1" /><Relationship Type="http://schemas.openxmlformats.org/officeDocument/2006/relationships/hyperlink" Target="https://www.mercadopublico.cl/Procurement/Modules/RFB/DetailsAcquisition.aspx?idlicitacion=2495-16-CO26" TargetMode="External" Id="rId2" /><Relationship Type="http://schemas.openxmlformats.org/officeDocument/2006/relationships/hyperlink" Target="https://www.mercadopublico.cl/Procurement/Modules/RFB/DetailsAcquisition.aspx?idlicitacion=2359-13-LP26" TargetMode="External" Id="rId3" /><Relationship Type="http://schemas.openxmlformats.org/officeDocument/2006/relationships/hyperlink" Target="https://www.mercadopublico.cl/Procurement/Modules/RFB/DetailsAcquisition.aspx?idlicitacion=2713-157-LP26" TargetMode="External" Id="rId4" /><Relationship Type="http://schemas.openxmlformats.org/officeDocument/2006/relationships/hyperlink" Target="https://www.mercadopublico.cl/Procurement/Modules/RFB/DetailsAcquisition.aspx?idlicitacion=4295-54-LR26" TargetMode="External" Id="rId5" /><Relationship Type="http://schemas.openxmlformats.org/officeDocument/2006/relationships/hyperlink" Target="https://www.mercadopublico.cl/Procurement/Modules/RFB/DetailsAcquisition.aspx?idlicitacion=5358-9-LR26" TargetMode="External" Id="rId6" /><Relationship Type="http://schemas.openxmlformats.org/officeDocument/2006/relationships/hyperlink" Target="https://www.mercadopublico.cl/Procurement/Modules/RFB/DetailsAcquisition.aspx?idlicitacion=1063538-206-I226" TargetMode="External" Id="rId7" /><Relationship Type="http://schemas.openxmlformats.org/officeDocument/2006/relationships/hyperlink" Target="https://www.mercadopublico.cl/Procurement/Modules/RFB/DetailsAcquisition.aspx?idlicitacion=867990-62-LE26" TargetMode="External" Id="rId8" /></Relationships>
</file>

<file path=xl/worksheets/_rels/sheet4.xml.rels><Relationships xmlns="http://schemas.openxmlformats.org/package/2006/relationships"><Relationship Type="http://schemas.openxmlformats.org/officeDocument/2006/relationships/hyperlink" Target="https://www.mercadopublico.cl/Procurement/Modules/RFB/DetailsAcquisition.aspx?idlicitacion=1422259-9-CO26" TargetMode="External" Id="rId1" /></Relationships>
</file>

<file path=xl/worksheets/sheet1.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34" customWidth="1" min="1" max="1"/>
    <col width="18" customWidth="1" min="2" max="2"/>
  </cols>
  <sheetData>
    <row r="1">
      <c r="A1" s="1" t="inlineStr">
        <is>
          <t>Observatorio de licitaciones — Mercado Publico</t>
        </is>
      </c>
    </row>
    <row r="2">
      <c r="A2" s="2" t="inlineStr">
        <is>
          <t>Corrida 2026-08-29 19:34 · UF 40,871.14 · 4,717 licitaciones activas barridas</t>
        </is>
      </c>
    </row>
    <row r="4">
      <c r="A4" s="3" t="inlineStr">
        <is>
          <t>Indicador</t>
        </is>
      </c>
      <c r="B4" s="3" t="inlineStr">
        <is>
          <t>Valor</t>
        </is>
      </c>
    </row>
    <row r="5">
      <c r="A5" s="4" t="inlineStr">
        <is>
          <t>Matches totales</t>
        </is>
      </c>
      <c r="B5" s="5">
        <f>COUNTA(Matches!P2:P9)</f>
        <v/>
      </c>
    </row>
    <row r="6">
      <c r="A6" s="4" t="inlineStr">
        <is>
          <t>NUEVAS esta corrida</t>
        </is>
      </c>
      <c r="B6" s="5">
        <f>COUNTIF(Matches!A2:A9,"SI")</f>
        <v/>
      </c>
    </row>
    <row r="7">
      <c r="A7" s="4" t="inlineStr">
        <is>
          <t>Con cambios</t>
        </is>
      </c>
      <c r="B7" s="5">
        <f>COUNTIF(Matches!B2:B9,"CAMBIO*")</f>
        <v/>
      </c>
    </row>
    <row r="8">
      <c r="A8" s="4" t="inlineStr">
        <is>
          <t>Prioridad ALTA</t>
        </is>
      </c>
      <c r="B8" s="5">
        <f>COUNTIF(Matches!C2:C9,"ALTA")</f>
        <v/>
      </c>
    </row>
    <row r="9">
      <c r="A9" s="4" t="inlineStr">
        <is>
          <t>Mandatos de servicio</t>
        </is>
      </c>
      <c r="B9" s="5">
        <f>COUNTIF(Matches!E2:E9,"Mandato de SERVICIO")</f>
        <v/>
      </c>
    </row>
    <row r="10">
      <c r="A10" s="4" t="inlineStr">
        <is>
          <t>Estado busca inmueble</t>
        </is>
      </c>
      <c r="B10" s="5">
        <f>COUNTIF(Matches!E2:E9,"Estado BUSCA inmueble")</f>
        <v/>
      </c>
    </row>
    <row r="11">
      <c r="A11" s="4" t="inlineStr">
        <is>
          <t>Estado ofrece inmueble</t>
        </is>
      </c>
      <c r="B11" s="5">
        <f>COUNTIF(Matches!E2:E9,"Estado OFRECE inmueble")</f>
        <v/>
      </c>
    </row>
    <row r="12">
      <c r="A12" s="4" t="inlineStr">
        <is>
          <t>Sugeridas a Gamma</t>
        </is>
      </c>
      <c r="B12" s="5">
        <f>COUNTIF(Matches!G2:G9,"Gamma")</f>
        <v/>
      </c>
    </row>
    <row r="13">
      <c r="A13" s="4" t="inlineStr">
        <is>
          <t>Sugeridas a Realsa Brokers</t>
        </is>
      </c>
      <c r="B13" s="5">
        <f>COUNTIF(Matches!G2:G9,"Realsa Brokers")</f>
        <v/>
      </c>
    </row>
    <row r="14">
      <c r="A14" s="4" t="inlineStr">
        <is>
          <t>Cierran en &lt;= 7 dias</t>
        </is>
      </c>
      <c r="B14" s="5">
        <f>COUNTIFS(Matches!N2:N9,"&lt;=7",Matches!N2:N9,"&gt;=0")</f>
        <v/>
      </c>
    </row>
    <row r="15">
      <c r="A15" s="4" t="inlineStr">
        <is>
          <t>Monto UF agregado (publicado)</t>
        </is>
      </c>
      <c r="B15" s="5">
        <f>SUM(Matches!M2:M9)</f>
        <v/>
      </c>
    </row>
    <row r="16">
      <c r="A16" s="6" t="inlineStr">
        <is>
          <t>Marca de novedad: la columna "Nueva" vale SI cuando la licitacion no aparecia en ninguna corrida anterior; toda la fila queda con fondo verde. Fondo ambar = la licitacion ya estaba en el radar pero cambio de estado, fecha de cierre o monto (el detalle va en la columna "Novedad"). La comparacion se hace contra la hoja Historico, que acumula todas las corridas.</t>
        </is>
      </c>
    </row>
    <row r="17"/>
    <row r="18">
      <c r="A18" s="7" t="n"/>
      <c r="B18" s="7" t="n"/>
      <c r="C18" s="7" t="n"/>
      <c r="D18" s="7" t="n"/>
      <c r="E18" s="7" t="n"/>
      <c r="F18" s="7" t="n"/>
      <c r="G18" s="7" t="n"/>
      <c r="H18" s="7" t="n"/>
    </row>
    <row r="21">
      <c r="A21" s="8" t="inlineStr">
        <is>
          <t>Umbrales aplicados: Region Metropolitana desde UF 500.0 · resto del pais desde UF 2000.0 · minimo 1 dias al cierre. Las licitaciones sin monto publicado NO se descartan: pasan marcadas como "no publicado" (Mercado Publico permite ocultar el monto estimado). Fuente: API oficial api.mercadopublico.cl. Valor UF: mindicador.cl.</t>
        </is>
      </c>
    </row>
    <row r="22"/>
    <row r="23"/>
    <row r="24"/>
  </sheetData>
  <mergeCells count="2">
    <mergeCell ref="A16:H18"/>
    <mergeCell ref="A21:H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7" customWidth="1" min="4" max="4"/>
    <col width="22" customWidth="1" min="5" max="5"/>
    <col width="52" customWidth="1" min="6" max="6"/>
    <col width="16" customWidth="1" min="7" max="7"/>
    <col width="52" customWidth="1" min="8" max="8"/>
    <col width="34" customWidth="1" min="9" max="9"/>
    <col width="24" customWidth="1" min="10" max="10"/>
    <col width="6" customWidth="1" min="11" max="11"/>
    <col width="18" customWidth="1" min="12" max="12"/>
    <col width="12" customWidth="1" min="13" max="13"/>
    <col width="13" customWidth="1" min="14" max="14"/>
    <col width="17" customWidth="1" min="15" max="15"/>
    <col width="18" customWidth="1" min="16" max="16"/>
    <col width="46" customWidth="1" min="17" max="17"/>
    <col width="38" customWidth="1" min="18" max="18"/>
    <col width="60" customWidth="1" min="19" max="19"/>
    <col width="22" customWidth="1" min="20" max="20"/>
    <col width="26" customWidth="1" min="21" max="21"/>
    <col width="30" customWidth="1" min="22" max="22"/>
  </cols>
  <sheetData>
    <row r="1" ht="30" customHeight="1">
      <c r="A1" s="9" t="inlineStr">
        <is>
          <t>Nueva</t>
        </is>
      </c>
      <c r="B1" s="9" t="inlineStr">
        <is>
          <t>Novedad</t>
        </is>
      </c>
      <c r="C1" s="9" t="inlineStr">
        <is>
          <t>Prioridad</t>
        </is>
      </c>
      <c r="D1" s="9" t="inlineStr">
        <is>
          <t>Score</t>
        </is>
      </c>
      <c r="E1" s="9" t="inlineStr">
        <is>
          <t>Tipo de oportunidad</t>
        </is>
      </c>
      <c r="F1" s="9" t="inlineStr">
        <is>
          <t>Accion sugerida</t>
        </is>
      </c>
      <c r="G1" s="9" t="inlineStr">
        <is>
          <t>Entidad sugerida</t>
        </is>
      </c>
      <c r="H1" s="9" t="inlineStr">
        <is>
          <t>Nombre</t>
        </is>
      </c>
      <c r="I1" s="9" t="inlineStr">
        <is>
          <t>Organismo</t>
        </is>
      </c>
      <c r="J1" s="9" t="inlineStr">
        <is>
          <t>Region</t>
        </is>
      </c>
      <c r="K1" s="9" t="inlineStr">
        <is>
          <t>Tipo</t>
        </is>
      </c>
      <c r="L1" s="9" t="inlineStr">
        <is>
          <t>Monto publicado</t>
        </is>
      </c>
      <c r="M1" s="9" t="inlineStr">
        <is>
          <t>Monto UF</t>
        </is>
      </c>
      <c r="N1" s="9" t="inlineStr">
        <is>
          <t>Dias al cierre</t>
        </is>
      </c>
      <c r="O1" s="9" t="inlineStr">
        <is>
          <t>Cierre</t>
        </is>
      </c>
      <c r="P1" s="9" t="inlineStr">
        <is>
          <t>Codigo</t>
        </is>
      </c>
      <c r="Q1" s="9" t="inlineStr">
        <is>
          <t>Por que calza</t>
        </is>
      </c>
      <c r="R1" s="9" t="inlineStr">
        <is>
          <t>Razon entidad</t>
        </is>
      </c>
      <c r="S1" s="9" t="inlineStr">
        <is>
          <t>Descripcion</t>
        </is>
      </c>
      <c r="T1" s="9" t="inlineStr">
        <is>
          <t>Contacto</t>
        </is>
      </c>
      <c r="U1" s="9" t="inlineStr">
        <is>
          <t>Email contacto</t>
        </is>
      </c>
      <c r="V1" s="9" t="inlineStr">
        <is>
          <t>URL</t>
        </is>
      </c>
    </row>
    <row r="2" ht="46" customHeight="1">
      <c r="A2" s="10" t="inlineStr">
        <is>
          <t>NO</t>
        </is>
      </c>
      <c r="B2" s="11" t="inlineStr">
        <is>
          <t>VIGENTE</t>
        </is>
      </c>
      <c r="C2" s="12" t="inlineStr">
        <is>
          <t>ALTA</t>
        </is>
      </c>
      <c r="D2" s="11" t="n">
        <v>66</v>
      </c>
      <c r="E2" s="11" t="inlineStr">
        <is>
          <t>Estado BUSCA inmueble</t>
        </is>
      </c>
      <c r="F2" s="13" t="inlineStr">
        <is>
          <t>El organismo demanda un inmueble en arriendo o compra: oportunidad de colocar una propiedad de cartera o de representar al propietario. Confirmar si las bases admiten a un corredor como oferente o exigen al titular del dominio.</t>
        </is>
      </c>
      <c r="G2" s="11" t="inlineStr">
        <is>
          <t>Realsa Brokers</t>
        </is>
      </c>
      <c r="H2" s="13" t="inlineStr">
        <is>
          <t>SERVICIO DE ARRIENDO INMUEBLES PARA OFICINAS</t>
        </is>
      </c>
      <c r="I2" s="13" t="inlineStr">
        <is>
          <t>I MUNICIPALIDAD DE LITUECHE</t>
        </is>
      </c>
      <c r="J2" s="11" t="inlineStr">
        <is>
          <t>Región del Libertador General Bernardo O´Higgins</t>
        </is>
      </c>
      <c r="K2" s="11" t="inlineStr">
        <is>
          <t>LE</t>
        </is>
      </c>
      <c r="L2" s="11" t="inlineStr">
        <is>
          <t>no publicado</t>
        </is>
      </c>
      <c r="M2" s="11" t="n"/>
      <c r="N2" s="11" t="n">
        <v>7</v>
      </c>
      <c r="O2" s="11" t="inlineStr">
        <is>
          <t>2026-08-31 16:00</t>
        </is>
      </c>
      <c r="P2" s="11" t="inlineStr">
        <is>
          <t>1743-64-LE26</t>
        </is>
      </c>
      <c r="Q2" s="13" t="inlineStr">
        <is>
          <t>objeto/titulo: inmueble (+14) | transaccion: arriendo (+12) | UNSPSC 80131500 (+40)</t>
        </is>
      </c>
      <c r="R2" s="13" t="inlineStr">
        <is>
          <t>proceso menor o sin ponderacion fuerte de experiencia</t>
        </is>
      </c>
      <c r="S2" s="13" t="inlineStr">
        <is>
          <t>La necesidad de contratar el servicio de arriendo de uno o más inmuebles que cuenten con las características descritas en las presentes Bases.</t>
        </is>
      </c>
      <c r="T2" s="11" t="inlineStr">
        <is>
          <t>Sergio Gajardo Donoso</t>
        </is>
      </c>
      <c r="U2" s="11" t="inlineStr"/>
      <c r="V2" s="14" t="inlineStr">
        <is>
          <t>Ver ficha</t>
        </is>
      </c>
    </row>
    <row r="3" ht="46" customHeight="1">
      <c r="A3" s="10" t="inlineStr">
        <is>
          <t>NO</t>
        </is>
      </c>
      <c r="B3" s="11" t="inlineStr">
        <is>
          <t>VIGENTE</t>
        </is>
      </c>
      <c r="C3" s="12" t="inlineStr">
        <is>
          <t>ALTA</t>
        </is>
      </c>
      <c r="D3" s="11" t="n">
        <v>66</v>
      </c>
      <c r="E3" s="11" t="inlineStr">
        <is>
          <t>Estado BUSCA inmueble</t>
        </is>
      </c>
      <c r="F3" s="13" t="inlineStr">
        <is>
          <t>El organismo demanda un inmueble en arriendo o compra: oportunidad de colocar una propiedad de cartera o de representar al propietario. Confirmar si las bases admiten a un corredor como oferente o exigen al titular del dominio.</t>
        </is>
      </c>
      <c r="G3" s="11" t="inlineStr">
        <is>
          <t>Realsa Brokers</t>
        </is>
      </c>
      <c r="H3" s="13" t="inlineStr">
        <is>
          <t>ARRIENDO DE INMUEBLE PARA OFICINA Y RESIDENCIA</t>
        </is>
      </c>
      <c r="I3" s="13" t="inlineStr">
        <is>
          <t>I MUNICIPALIDAD DE COYHAIQUE</t>
        </is>
      </c>
      <c r="J3" s="11" t="inlineStr">
        <is>
          <t>Región Aysén del General Carlos Ibáñez del Campo</t>
        </is>
      </c>
      <c r="K3" s="11" t="inlineStr">
        <is>
          <t>CO</t>
        </is>
      </c>
      <c r="L3" s="11" t="inlineStr">
        <is>
          <t>no publicado</t>
        </is>
      </c>
      <c r="M3" s="11" t="n"/>
      <c r="N3" s="11" t="n">
        <v>7</v>
      </c>
      <c r="O3" s="11" t="inlineStr">
        <is>
          <t>2026-08-31 16:00</t>
        </is>
      </c>
      <c r="P3" s="11" t="inlineStr">
        <is>
          <t>2495-16-CO26</t>
        </is>
      </c>
      <c r="Q3" s="13" t="inlineStr">
        <is>
          <t>objeto/titulo: inmueble (+14) | transaccion: arriendo (+12) | UNSPSC 80131500 (+40)</t>
        </is>
      </c>
      <c r="R3" s="13" t="inlineStr">
        <is>
          <t>proceso menor o sin ponderacion fuerte de experiencia</t>
        </is>
      </c>
      <c r="S3" s="13" t="inlineStr">
        <is>
          <t>ARRIENDO DE INMUEBLE PARA OFICINAS ADMINISTRATIVAS DEL CENTRO RAYEN Y UN ESPACIO RESIDENCIAL, PARA LA RESIDENCIA TRANSITORIA, SEGÚN BASES ADMINISTRATIVAS Y TÉCNICAS.</t>
        </is>
      </c>
      <c r="T3" s="11" t="inlineStr">
        <is>
          <t>GABRIELA OSORIO AGUILAR</t>
        </is>
      </c>
      <c r="U3" s="11" t="inlineStr"/>
      <c r="V3" s="14" t="inlineStr">
        <is>
          <t>Ver ficha</t>
        </is>
      </c>
    </row>
    <row r="4" ht="46" customHeight="1">
      <c r="A4" s="10" t="inlineStr">
        <is>
          <t>NO</t>
        </is>
      </c>
      <c r="B4" s="11" t="inlineStr">
        <is>
          <t>VIGENTE</t>
        </is>
      </c>
      <c r="C4" s="12" t="inlineStr">
        <is>
          <t>ALTA</t>
        </is>
      </c>
      <c r="D4" s="11" t="n">
        <v>66</v>
      </c>
      <c r="E4" s="11" t="inlineStr">
        <is>
          <t>Estado BUSCA inmueble</t>
        </is>
      </c>
      <c r="F4" s="13" t="inlineStr">
        <is>
          <t>El organismo demanda un inmueble en arriendo o compra: oportunidad de colocar una propiedad de cartera o de representar al propietario. Confirmar si las bases admiten a un corredor como oferente o exigen al titular del dominio.</t>
        </is>
      </c>
      <c r="G4" s="11" t="inlineStr">
        <is>
          <t>Gamma</t>
        </is>
      </c>
      <c r="H4" s="13" t="inlineStr">
        <is>
          <t>ARRIENDO DE INMUEBLES 2026-2028</t>
        </is>
      </c>
      <c r="I4" s="13" t="inlineStr">
        <is>
          <t>I MUNICIPALIDAD DE TALCAHUANO</t>
        </is>
      </c>
      <c r="J4" s="11" t="inlineStr">
        <is>
          <t>Región del Biobío</t>
        </is>
      </c>
      <c r="K4" s="11" t="inlineStr">
        <is>
          <t>LP</t>
        </is>
      </c>
      <c r="L4" s="11" t="inlineStr">
        <is>
          <t>no publicado</t>
        </is>
      </c>
      <c r="M4" s="11" t="n"/>
      <c r="N4" s="11" t="n">
        <v>15</v>
      </c>
      <c r="O4" s="11" t="inlineStr">
        <is>
          <t>2026-09-08 15:30</t>
        </is>
      </c>
      <c r="P4" s="11" t="inlineStr">
        <is>
          <t>2359-13-LP26</t>
        </is>
      </c>
      <c r="Q4" s="13" t="inlineStr">
        <is>
          <t>objeto/titulo: inmueble (+14) | transaccion: arriendo (+12) | UNSPSC 80131500 (+40)</t>
        </is>
      </c>
      <c r="R4" s="13" t="inlineStr">
        <is>
          <t>exige/pondera experiencia acreditable o es licitacion mayor</t>
        </is>
      </c>
      <c r="S4" s="13" t="inlineStr">
        <is>
          <t>La Municipalidad de Talcahuano, llama a Propuesta Pública para el ARRIENDO DE INMUEBLES PARA LA MUNICIPALIDAD DE TALCAHUANO 2026-2028, por el sistema a suma alzada, exento de impuestos, sin intereses ni reajustes, financiada con Fondos Municipales.    La presente licitación se regirá por las presentes Bases Administrativas, Términos de Referencia y demás antecedentes que la componen.</t>
        </is>
      </c>
      <c r="T4" s="11" t="inlineStr">
        <is>
          <t>Victor Sandoval Arias</t>
        </is>
      </c>
      <c r="U4" s="11" t="inlineStr"/>
      <c r="V4" s="14" t="inlineStr">
        <is>
          <t>Ver ficha</t>
        </is>
      </c>
    </row>
    <row r="5" ht="46" customHeight="1">
      <c r="A5" s="15" t="inlineStr">
        <is>
          <t>NO</t>
        </is>
      </c>
      <c r="B5" s="16" t="inlineStr">
        <is>
          <t>CAMBIO: monto UF 3524.0-&gt;3523.0</t>
        </is>
      </c>
      <c r="C5" s="17" t="inlineStr">
        <is>
          <t>ALTA</t>
        </is>
      </c>
      <c r="D5" s="18" t="n">
        <v>59</v>
      </c>
      <c r="E5" s="18" t="inlineStr">
        <is>
          <t>Estado BUSCA inmueble</t>
        </is>
      </c>
      <c r="F5" s="19" t="inlineStr">
        <is>
          <t>El organismo demanda un inmueble en arriendo o compra: oportunidad de colocar una propiedad de cartera o de representar al propietario. Confirmar si las bases admiten a un corredor como oferente o exigen al titular del dominio.</t>
        </is>
      </c>
      <c r="G5" s="18" t="inlineStr">
        <is>
          <t>Gamma</t>
        </is>
      </c>
      <c r="H5" s="19" t="inlineStr">
        <is>
          <t>Servicio de arriendo - Folio 852 - DIDECO</t>
        </is>
      </c>
      <c r="I5" s="19" t="inlineStr">
        <is>
          <t>I MUNICIPALIDAD DE AYSEN</t>
        </is>
      </c>
      <c r="J5" s="18" t="inlineStr">
        <is>
          <t>Región Aysén del General Carlos Ibáñez del Campo</t>
        </is>
      </c>
      <c r="K5" s="18" t="inlineStr">
        <is>
          <t>LP</t>
        </is>
      </c>
      <c r="L5" s="18" t="inlineStr">
        <is>
          <t>CLP 144,000,000</t>
        </is>
      </c>
      <c r="M5" s="20" t="n">
        <v>3523</v>
      </c>
      <c r="N5" s="18" t="n">
        <v>9</v>
      </c>
      <c r="O5" s="18" t="inlineStr">
        <is>
          <t>2026-09-02 09:30</t>
        </is>
      </c>
      <c r="P5" s="18" t="inlineStr">
        <is>
          <t>2713-157-LP26</t>
        </is>
      </c>
      <c r="Q5" s="19" t="inlineStr">
        <is>
          <t>objeto/desc: inmueble (+7) | transaccion: arriendo (+12) | UNSPSC 80131500 (+40)</t>
        </is>
      </c>
      <c r="R5" s="19" t="inlineStr">
        <is>
          <t>exige/pondera experiencia acreditable o es licitacion mayor</t>
        </is>
      </c>
      <c r="S5" s="19" t="inlineStr">
        <is>
          <t>La Municipalidad de Aysén –en adelante Municipalidad - llama a presentar ofertas para el arrendamiento de un bien inmueble destinado al funcionamiento del Centro de las Mujeres y demás programas en convenio con SERNAMEG para el Departamento de Desarrollo Comunitario DIDECO de la Municipalidad de Aysén por un periodo de tres años</t>
        </is>
      </c>
      <c r="T5" s="18" t="inlineStr">
        <is>
          <t>Victor Godoy Tapia</t>
        </is>
      </c>
      <c r="U5" s="18" t="inlineStr"/>
      <c r="V5" s="21" t="inlineStr">
        <is>
          <t>Ver ficha</t>
        </is>
      </c>
    </row>
    <row r="6" ht="46" customHeight="1">
      <c r="A6" s="10" t="inlineStr">
        <is>
          <t>NO</t>
        </is>
      </c>
      <c r="B6" s="11" t="inlineStr">
        <is>
          <t>VIGENTE</t>
        </is>
      </c>
      <c r="C6" s="12" t="inlineStr">
        <is>
          <t>ALTA</t>
        </is>
      </c>
      <c r="D6" s="11" t="n">
        <v>55</v>
      </c>
      <c r="E6" s="11" t="inlineStr">
        <is>
          <t>Estado OFRECE inmueble</t>
        </is>
      </c>
      <c r="F6" s="13" t="inlineStr">
        <is>
          <t>El organismo vende o concesiona un activo: oportunidad de representar comprador/operador o de asesorar el proceso. Revisar bases y valor minimo.</t>
        </is>
      </c>
      <c r="G6" s="11" t="inlineStr">
        <is>
          <t>Gamma</t>
        </is>
      </c>
      <c r="H6" s="13" t="inlineStr">
        <is>
          <t>VENTA DE TERRENOS DE PROPIEDAD MUNICIPAL LA SERENA</t>
        </is>
      </c>
      <c r="I6" s="13" t="inlineStr">
        <is>
          <t>ILUSTRE MUNICIPALIDAD DE LA SERENA</t>
        </is>
      </c>
      <c r="J6" s="11" t="inlineStr">
        <is>
          <t>Región de Coquimbo</t>
        </is>
      </c>
      <c r="K6" s="11" t="inlineStr">
        <is>
          <t>LR</t>
        </is>
      </c>
      <c r="L6" s="11" t="inlineStr">
        <is>
          <t>no publicado</t>
        </is>
      </c>
      <c r="M6" s="11" t="n"/>
      <c r="N6" s="11" t="n">
        <v>51</v>
      </c>
      <c r="O6" s="11" t="inlineStr">
        <is>
          <t>2026-10-14 15:00</t>
        </is>
      </c>
      <c r="P6" s="11" t="inlineStr">
        <is>
          <t>4295-54-LR26</t>
        </is>
      </c>
      <c r="Q6" s="13" t="inlineStr">
        <is>
          <t>objeto/titulo: terreno (+9) | transaccion: venta (+6) | UNSPSC 80131600 (+40)</t>
        </is>
      </c>
      <c r="R6" s="13" t="inlineStr">
        <is>
          <t>exige/pondera experiencia acreditable o es licitacion mayor</t>
        </is>
      </c>
      <c r="S6" s="13" t="inlineStr">
        <is>
          <t>El presente proceso tiene como objetivo, seleccionar mediante propuesta pública, al o a los compradores con quien se celebrará el contrato de compraventa de los inmuebles de propiedad municipal. Esta actuación se realiza conforme a lo establecido en el artículo 5, letra f), de la ley Nº 18.695, Orgánica Constitucional de Municipalidades, para el cumplimiento de sus funciones las municipalidades tendrán las siguientes atribuciones esenciales: “f) Adquirir y enajenar bienes muebles e inmuebles”.</t>
        </is>
      </c>
      <c r="T6" s="11" t="inlineStr">
        <is>
          <t>Dirección de Administración y Finanzas</t>
        </is>
      </c>
      <c r="U6" s="11" t="inlineStr"/>
      <c r="V6" s="14" t="inlineStr">
        <is>
          <t>Ver ficha</t>
        </is>
      </c>
    </row>
    <row r="7" ht="46" customHeight="1">
      <c r="A7" s="15" t="inlineStr">
        <is>
          <t>NO</t>
        </is>
      </c>
      <c r="B7" s="16" t="inlineStr">
        <is>
          <t>CAMBIO: monto UF 122351.0-&gt;122336.0</t>
        </is>
      </c>
      <c r="C7" s="22" t="inlineStr">
        <is>
          <t>MEDIA</t>
        </is>
      </c>
      <c r="D7" s="18" t="n">
        <v>49</v>
      </c>
      <c r="E7" s="18" t="inlineStr">
        <is>
          <t>Estado OFRECE inmueble</t>
        </is>
      </c>
      <c r="F7" s="19" t="inlineStr">
        <is>
          <t>El organismo vende o concesiona un activo: oportunidad de representar comprador/operador o de asesorar el proceso. Revisar bases y valor minimo.</t>
        </is>
      </c>
      <c r="G7" s="18" t="inlineStr">
        <is>
          <t>Gamma</t>
        </is>
      </c>
      <c r="H7" s="19" t="inlineStr">
        <is>
          <t>ADQUISICIÓN DE TERRENO PARA PROYECTO EDUCACIONAL U</t>
        </is>
      </c>
      <c r="I7" s="19" t="inlineStr">
        <is>
          <t>UNIVERSIDAD DE TARAPACA</t>
        </is>
      </c>
      <c r="J7" s="18" t="inlineStr">
        <is>
          <t>Región de Tarapacá</t>
        </is>
      </c>
      <c r="K7" s="18" t="inlineStr">
        <is>
          <t>LR</t>
        </is>
      </c>
      <c r="L7" s="18" t="inlineStr">
        <is>
          <t>CLP 5,000,000,000</t>
        </is>
      </c>
      <c r="M7" s="20" t="n">
        <v>122336</v>
      </c>
      <c r="N7" s="18" t="n">
        <v>53</v>
      </c>
      <c r="O7" s="18" t="inlineStr">
        <is>
          <t>2026-10-16 15:01</t>
        </is>
      </c>
      <c r="P7" s="18" t="inlineStr">
        <is>
          <t>5358-9-LR26</t>
        </is>
      </c>
      <c r="Q7" s="19" t="inlineStr">
        <is>
          <t>objeto/titulo: terreno (+9) | UNSPSC 80131600 (+40)</t>
        </is>
      </c>
      <c r="R7" s="19" t="inlineStr">
        <is>
          <t>exige/pondera experiencia acreditable o es licitacion mayor</t>
        </is>
      </c>
      <c r="S7" s="19" t="inlineStr">
        <is>
          <t>Lo indicado en Bases de la Licitación, aprobadas mediante Decreto N°21/2026 Adjunto.</t>
        </is>
      </c>
      <c r="T7" s="18" t="inlineStr">
        <is>
          <t>Jorge Bernal Peralta</t>
        </is>
      </c>
      <c r="U7" s="18" t="inlineStr"/>
      <c r="V7" s="21" t="inlineStr">
        <is>
          <t>Ver ficha</t>
        </is>
      </c>
    </row>
    <row r="8" ht="46" customHeight="1">
      <c r="A8" s="23" t="inlineStr">
        <is>
          <t>SI</t>
        </is>
      </c>
      <c r="B8" s="24" t="inlineStr">
        <is>
          <t>NUEVA</t>
        </is>
      </c>
      <c r="C8" s="25" t="inlineStr">
        <is>
          <t>MEDIA</t>
        </is>
      </c>
      <c r="D8" s="26" t="n">
        <v>40</v>
      </c>
      <c r="E8" s="26" t="inlineStr">
        <is>
          <t>Estado BUSCA inmueble</t>
        </is>
      </c>
      <c r="F8" s="27" t="inlineStr">
        <is>
          <t>El organismo demanda un inmueble en arriendo o compra: oportunidad de colocar una propiedad de cartera o de representar al propietario. Confirmar si las bases admiten a un corredor como oferente o exigen al titular del dominio.</t>
        </is>
      </c>
      <c r="G8" s="26" t="inlineStr">
        <is>
          <t>Realsa Brokers</t>
        </is>
      </c>
      <c r="H8" s="27" t="inlineStr">
        <is>
          <t>“ARRIENDO DE CELDAS DE MEDIA TENSION MT”</t>
        </is>
      </c>
      <c r="I8" s="27" t="inlineStr">
        <is>
          <t>HOSPITAL BASE OSORNO</t>
        </is>
      </c>
      <c r="J8" s="26" t="inlineStr">
        <is>
          <t>Región de los Lagos</t>
        </is>
      </c>
      <c r="K8" s="26" t="inlineStr">
        <is>
          <t>I2</t>
        </is>
      </c>
      <c r="L8" s="26" t="inlineStr">
        <is>
          <t>no publicado</t>
        </is>
      </c>
      <c r="M8" s="26" t="n"/>
      <c r="N8" s="26" t="n">
        <v>30</v>
      </c>
      <c r="O8" s="26" t="inlineStr">
        <is>
          <t>2026-09-28 17:00</t>
        </is>
      </c>
      <c r="P8" s="26" t="inlineStr">
        <is>
          <t>1063538-206-I226</t>
        </is>
      </c>
      <c r="Q8" s="27" t="inlineStr">
        <is>
          <t>UNSPSC 80131500 (+40)</t>
        </is>
      </c>
      <c r="R8" s="27" t="inlineStr">
        <is>
          <t>proceso menor o sin ponderacion fuerte de experiencia</t>
        </is>
      </c>
      <c r="S8" s="27" t="inlineStr">
        <is>
          <t>El Hospital Base San José de Osorno, en adelante también “el Hospital”, llama a propuesta privada para generar un convenio de Arriendo de celdas de media tensión MT del Hospital Base San Jose Osorno. La forma de la presente licitación pública corresponde a aquella adquisición mayor o igual a 5.000 UTM y menor a 10.000 UTM.</t>
        </is>
      </c>
      <c r="T8" s="26" t="inlineStr">
        <is>
          <t>Yasna Albarran</t>
        </is>
      </c>
      <c r="U8" s="26" t="inlineStr"/>
      <c r="V8" s="28" t="inlineStr">
        <is>
          <t>Ver ficha</t>
        </is>
      </c>
    </row>
    <row r="9" ht="46" customHeight="1">
      <c r="A9" s="10" t="inlineStr">
        <is>
          <t>NO</t>
        </is>
      </c>
      <c r="B9" s="11" t="inlineStr">
        <is>
          <t>VIGENTE</t>
        </is>
      </c>
      <c r="C9" s="29" t="inlineStr">
        <is>
          <t>MEDIA</t>
        </is>
      </c>
      <c r="D9" s="11" t="n">
        <v>38</v>
      </c>
      <c r="E9" s="11" t="inlineStr">
        <is>
          <t>Mandato de SERVICIO</t>
        </is>
      </c>
      <c r="F9" s="13" t="inlineStr">
        <is>
          <t>Contratan un servicio profesional inmobiliario: postulacion directa como oferente. Verificar requisitos de experiencia y garantia de seriedad.</t>
        </is>
      </c>
      <c r="G9" s="11" t="inlineStr">
        <is>
          <t>Realsa Brokers</t>
        </is>
      </c>
      <c r="H9" s="13" t="inlineStr">
        <is>
          <t>CDP 91352 - CC 102 — TASACIÓN DE BIENES INMUEBLES</t>
        </is>
      </c>
      <c r="I9" s="13" t="inlineStr">
        <is>
          <t>UNIVERSIDAD DE SANTIAGO DE CHILE</t>
        </is>
      </c>
      <c r="J9" s="11" t="inlineStr">
        <is>
          <t>Región Metropolitana de Santiago</t>
        </is>
      </c>
      <c r="K9" s="11" t="inlineStr">
        <is>
          <t>LE</t>
        </is>
      </c>
      <c r="L9" s="11" t="inlineStr">
        <is>
          <t>CLP 45,000,000</t>
        </is>
      </c>
      <c r="M9" s="30" t="n">
        <v>1101</v>
      </c>
      <c r="N9" s="11" t="n">
        <v>7</v>
      </c>
      <c r="O9" s="11" t="inlineStr">
        <is>
          <t>2026-08-31 15:00</t>
        </is>
      </c>
      <c r="P9" s="11" t="inlineStr">
        <is>
          <t>867990-62-LE26</t>
        </is>
      </c>
      <c r="Q9" s="13" t="inlineStr">
        <is>
          <t>nucleo/titulo: tasacion (+24) | objeto/titulo: inmueble (+14)</t>
        </is>
      </c>
      <c r="R9" s="13" t="inlineStr">
        <is>
          <t>proceso menor o sin ponderacion fuerte de experiencia</t>
        </is>
      </c>
      <c r="S9" s="13" t="inlineStr">
        <is>
          <t>El objeto de la presente licitación es la contratación del servicio de tasación de bienes inmuebles institucionales de la Universidad de Santiago de Chile, con el propósito de actualizar la información patrimonial de la Institución mediante la determinación del valor razonable de sus activos inmobiliarios, de conformidad con las Normas Internacionales de Información Financiera IFRS, las Normas Internacionales de Valoración IVS vigentes y demás normativa técnica aplicable, de acuerdo con las condiciones que se detallan en el Título II de las presentes bases de licitación.</t>
        </is>
      </c>
      <c r="T9" s="11" t="inlineStr">
        <is>
          <t>meliza cabello</t>
        </is>
      </c>
      <c r="U9" s="11" t="inlineStr"/>
      <c r="V9" s="14" t="inlineStr">
        <is>
          <t>Ver ficha</t>
        </is>
      </c>
    </row>
  </sheetData>
  <autoFilter ref="A1:V9"/>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8" customWidth="1" min="1" max="1"/>
    <col width="52" customWidth="1" min="2" max="2"/>
    <col width="18" customWidth="1" min="3" max="3"/>
    <col width="7" customWidth="1" min="4" max="4"/>
    <col width="18" customWidth="1" min="5" max="5"/>
    <col width="17" customWidth="1" min="6" max="6"/>
    <col width="12" customWidth="1" min="7" max="7"/>
    <col width="18" customWidth="1" min="8" max="8"/>
    <col width="18" customWidth="1" min="9" max="9"/>
    <col width="18" customWidth="1" min="10" max="10"/>
  </cols>
  <sheetData>
    <row r="1" ht="30" customHeight="1">
      <c r="A1" s="9" t="inlineStr">
        <is>
          <t>Codigo</t>
        </is>
      </c>
      <c r="B1" s="9" t="inlineStr">
        <is>
          <t>Nombre</t>
        </is>
      </c>
      <c r="C1" s="9" t="inlineStr">
        <is>
          <t>Entidad</t>
        </is>
      </c>
      <c r="D1" s="9" t="inlineStr">
        <is>
          <t>Score</t>
        </is>
      </c>
      <c r="E1" s="9" t="inlineStr">
        <is>
          <t>Estado</t>
        </is>
      </c>
      <c r="F1" s="9" t="inlineStr">
        <is>
          <t>Cierre</t>
        </is>
      </c>
      <c r="G1" s="9" t="inlineStr">
        <is>
          <t>Monto UF</t>
        </is>
      </c>
      <c r="H1" s="9" t="inlineStr">
        <is>
          <t>Primera vista</t>
        </is>
      </c>
      <c r="I1" s="9" t="inlineStr">
        <is>
          <t>Ultima vista</t>
        </is>
      </c>
      <c r="J1" s="9" t="inlineStr">
        <is>
          <t>Semanas en radar</t>
        </is>
      </c>
    </row>
    <row r="2">
      <c r="A2" s="11" t="inlineStr">
        <is>
          <t>3994-21-L126</t>
        </is>
      </c>
      <c r="B2" s="13" t="inlineStr">
        <is>
          <t>SERVICIO DE TASACION COMERCIAL DE INMUEBLE</t>
        </is>
      </c>
      <c r="C2" s="11" t="inlineStr">
        <is>
          <t>Realsa Brokers</t>
        </is>
      </c>
      <c r="D2" s="11" t="n">
        <v>78</v>
      </c>
      <c r="E2" s="11" t="inlineStr">
        <is>
          <t>Publicada</t>
        </is>
      </c>
      <c r="F2" s="11" t="inlineStr">
        <is>
          <t>2026-08-26 15:00</t>
        </is>
      </c>
      <c r="G2" s="11" t="n"/>
      <c r="H2" s="11" t="inlineStr">
        <is>
          <t>2026-08-25</t>
        </is>
      </c>
      <c r="I2" s="11" t="inlineStr">
        <is>
          <t>2026-08-25</t>
        </is>
      </c>
      <c r="J2" s="11" t="n">
        <v>1</v>
      </c>
    </row>
    <row r="3">
      <c r="A3" s="11" t="inlineStr">
        <is>
          <t>2760-98-LE26</t>
        </is>
      </c>
      <c r="B3" s="13" t="inlineStr">
        <is>
          <t>ARRIENDO DE INMUEBLE PARA BODEGA Y ARCHIVOS INMEDIATOS DE DISTINTAS DIRECCIONES MUNICIPALES</t>
        </is>
      </c>
      <c r="C3" s="11" t="inlineStr">
        <is>
          <t>Realsa Brokers</t>
        </is>
      </c>
      <c r="D3" s="11" t="n">
        <v>66</v>
      </c>
      <c r="E3" s="11" t="inlineStr">
        <is>
          <t>Publicada</t>
        </is>
      </c>
      <c r="F3" s="11" t="inlineStr">
        <is>
          <t>2026-08-26 15:00</t>
        </is>
      </c>
      <c r="G3" s="11" t="n"/>
      <c r="H3" s="11" t="inlineStr">
        <is>
          <t>2026-08-25</t>
        </is>
      </c>
      <c r="I3" s="11" t="inlineStr">
        <is>
          <t>2026-08-25</t>
        </is>
      </c>
      <c r="J3" s="11" t="n">
        <v>1</v>
      </c>
    </row>
    <row r="4">
      <c r="A4" s="11" t="inlineStr">
        <is>
          <t>1743-64-LE26</t>
        </is>
      </c>
      <c r="B4" s="13" t="inlineStr">
        <is>
          <t>SERVICIO DE ARRIENDO INMUEBLES PARA OFICINAS</t>
        </is>
      </c>
      <c r="C4" s="11" t="inlineStr">
        <is>
          <t>Realsa Brokers</t>
        </is>
      </c>
      <c r="D4" s="11" t="n">
        <v>66</v>
      </c>
      <c r="E4" s="11" t="inlineStr">
        <is>
          <t>Publicada</t>
        </is>
      </c>
      <c r="F4" s="11" t="inlineStr">
        <is>
          <t>2026-08-31 16:00</t>
        </is>
      </c>
      <c r="G4" s="11" t="n"/>
      <c r="H4" s="11" t="inlineStr">
        <is>
          <t>2026-08-25</t>
        </is>
      </c>
      <c r="I4" s="11" t="inlineStr">
        <is>
          <t>2026-08-29</t>
        </is>
      </c>
      <c r="J4" s="11" t="n">
        <v>1</v>
      </c>
    </row>
    <row r="5">
      <c r="A5" s="11" t="inlineStr">
        <is>
          <t>2495-16-CO26</t>
        </is>
      </c>
      <c r="B5" s="13" t="inlineStr">
        <is>
          <t>ARRIENDO DE INMUEBLE PARA OFICINA Y RESIDENCIA</t>
        </is>
      </c>
      <c r="C5" s="11" t="inlineStr">
        <is>
          <t>Realsa Brokers</t>
        </is>
      </c>
      <c r="D5" s="11" t="n">
        <v>66</v>
      </c>
      <c r="E5" s="11" t="inlineStr">
        <is>
          <t>Publicada</t>
        </is>
      </c>
      <c r="F5" s="11" t="inlineStr">
        <is>
          <t>2026-08-31 16:00</t>
        </is>
      </c>
      <c r="G5" s="11" t="n"/>
      <c r="H5" s="11" t="inlineStr">
        <is>
          <t>2026-08-25</t>
        </is>
      </c>
      <c r="I5" s="11" t="inlineStr">
        <is>
          <t>2026-08-29</t>
        </is>
      </c>
      <c r="J5" s="11" t="n">
        <v>1</v>
      </c>
    </row>
    <row r="6">
      <c r="A6" s="11" t="inlineStr">
        <is>
          <t>2359-13-LP26</t>
        </is>
      </c>
      <c r="B6" s="13" t="inlineStr">
        <is>
          <t>ARRIENDO DE INMUEBLES 2026-2028</t>
        </is>
      </c>
      <c r="C6" s="11" t="inlineStr">
        <is>
          <t>Gamma</t>
        </is>
      </c>
      <c r="D6" s="11" t="n">
        <v>66</v>
      </c>
      <c r="E6" s="11" t="inlineStr">
        <is>
          <t>Publicada</t>
        </is>
      </c>
      <c r="F6" s="11" t="inlineStr">
        <is>
          <t>2026-09-08 15:30</t>
        </is>
      </c>
      <c r="G6" s="11" t="n"/>
      <c r="H6" s="11" t="inlineStr">
        <is>
          <t>2026-08-25</t>
        </is>
      </c>
      <c r="I6" s="11" t="inlineStr">
        <is>
          <t>2026-08-29</t>
        </is>
      </c>
      <c r="J6" s="11" t="n">
        <v>1</v>
      </c>
    </row>
    <row r="7">
      <c r="A7" s="11" t="inlineStr">
        <is>
          <t>2713-157-LP26</t>
        </is>
      </c>
      <c r="B7" s="13" t="inlineStr">
        <is>
          <t>Servicio de arriendo - Folio 852 - DIDECO</t>
        </is>
      </c>
      <c r="C7" s="11" t="inlineStr">
        <is>
          <t>Gamma</t>
        </is>
      </c>
      <c r="D7" s="11" t="n">
        <v>59</v>
      </c>
      <c r="E7" s="11" t="inlineStr">
        <is>
          <t>Publicada</t>
        </is>
      </c>
      <c r="F7" s="11" t="inlineStr">
        <is>
          <t>2026-09-02 09:30</t>
        </is>
      </c>
      <c r="G7" s="11" t="n">
        <v>3523</v>
      </c>
      <c r="H7" s="11" t="inlineStr">
        <is>
          <t>2026-08-25</t>
        </is>
      </c>
      <c r="I7" s="11" t="inlineStr">
        <is>
          <t>2026-08-29</t>
        </is>
      </c>
      <c r="J7" s="11" t="n">
        <v>1</v>
      </c>
    </row>
    <row r="8">
      <c r="A8" s="11" t="inlineStr">
        <is>
          <t>552578-38-L126</t>
        </is>
      </c>
      <c r="B8" s="13" t="inlineStr">
        <is>
          <t>CONCESIÓN DE LOCALES COMERCIALES PASEO SAN RAFAEL</t>
        </is>
      </c>
      <c r="C8" s="11" t="inlineStr">
        <is>
          <t>Realsa Brokers</t>
        </is>
      </c>
      <c r="D8" s="11" t="n">
        <v>56</v>
      </c>
      <c r="E8" s="11" t="inlineStr">
        <is>
          <t>Publicada</t>
        </is>
      </c>
      <c r="F8" s="11" t="inlineStr">
        <is>
          <t>2026-08-27 18:00</t>
        </is>
      </c>
      <c r="G8" s="11" t="n"/>
      <c r="H8" s="11" t="inlineStr">
        <is>
          <t>2026-08-25</t>
        </is>
      </c>
      <c r="I8" s="11" t="inlineStr">
        <is>
          <t>2026-08-25</t>
        </is>
      </c>
      <c r="J8" s="11" t="n">
        <v>1</v>
      </c>
    </row>
    <row r="9">
      <c r="A9" s="11" t="inlineStr">
        <is>
          <t>4295-54-LR26</t>
        </is>
      </c>
      <c r="B9" s="13" t="inlineStr">
        <is>
          <t>VENTA DE TERRENOS DE PROPIEDAD MUNICIPAL LA SERENA</t>
        </is>
      </c>
      <c r="C9" s="11" t="inlineStr">
        <is>
          <t>Gamma</t>
        </is>
      </c>
      <c r="D9" s="11" t="n">
        <v>55</v>
      </c>
      <c r="E9" s="11" t="inlineStr">
        <is>
          <t>Publicada</t>
        </is>
      </c>
      <c r="F9" s="11" t="inlineStr">
        <is>
          <t>2026-10-14 15:00</t>
        </is>
      </c>
      <c r="G9" s="11" t="n"/>
      <c r="H9" s="11" t="inlineStr">
        <is>
          <t>2026-08-25</t>
        </is>
      </c>
      <c r="I9" s="11" t="inlineStr">
        <is>
          <t>2026-08-29</t>
        </is>
      </c>
      <c r="J9" s="11" t="n">
        <v>1</v>
      </c>
    </row>
    <row r="10">
      <c r="A10" s="11" t="inlineStr">
        <is>
          <t>5358-9-LR26</t>
        </is>
      </c>
      <c r="B10" s="13" t="inlineStr">
        <is>
          <t>ADQUISICIÓN DE TERRENO PARA PROYECTO EDUCACIONAL U</t>
        </is>
      </c>
      <c r="C10" s="11" t="inlineStr">
        <is>
          <t>Gamma</t>
        </is>
      </c>
      <c r="D10" s="11" t="n">
        <v>49</v>
      </c>
      <c r="E10" s="11" t="inlineStr">
        <is>
          <t>Publicada</t>
        </is>
      </c>
      <c r="F10" s="11" t="inlineStr">
        <is>
          <t>2026-10-16 15:01</t>
        </is>
      </c>
      <c r="G10" s="11" t="n">
        <v>122336</v>
      </c>
      <c r="H10" s="11" t="inlineStr">
        <is>
          <t>2026-08-25</t>
        </is>
      </c>
      <c r="I10" s="11" t="inlineStr">
        <is>
          <t>2026-08-29</t>
        </is>
      </c>
      <c r="J10" s="11" t="n">
        <v>1</v>
      </c>
    </row>
    <row r="11">
      <c r="A11" s="11" t="inlineStr">
        <is>
          <t>1063538-206-I226</t>
        </is>
      </c>
      <c r="B11" s="13" t="inlineStr">
        <is>
          <t>“ARRIENDO DE CELDAS DE MEDIA TENSION MT”</t>
        </is>
      </c>
      <c r="C11" s="11" t="inlineStr">
        <is>
          <t>Realsa Brokers</t>
        </is>
      </c>
      <c r="D11" s="11" t="n">
        <v>40</v>
      </c>
      <c r="E11" s="11" t="inlineStr">
        <is>
          <t>Publicada</t>
        </is>
      </c>
      <c r="F11" s="11" t="inlineStr">
        <is>
          <t>2026-09-28 17:00</t>
        </is>
      </c>
      <c r="G11" s="11" t="n"/>
      <c r="H11" s="11" t="inlineStr">
        <is>
          <t>2026-08-29</t>
        </is>
      </c>
      <c r="I11" s="11" t="inlineStr">
        <is>
          <t>2026-08-29</t>
        </is>
      </c>
      <c r="J11" s="11" t="n">
        <v>1</v>
      </c>
    </row>
    <row r="12">
      <c r="A12" s="11" t="inlineStr">
        <is>
          <t>867990-62-LE26</t>
        </is>
      </c>
      <c r="B12" s="13" t="inlineStr">
        <is>
          <t>CDP 91352 - CC 102 — TASACIÓN DE BIENES INMUEBLES</t>
        </is>
      </c>
      <c r="C12" s="11" t="inlineStr">
        <is>
          <t>Realsa Brokers</t>
        </is>
      </c>
      <c r="D12" s="11" t="n">
        <v>38</v>
      </c>
      <c r="E12" s="11" t="inlineStr">
        <is>
          <t>Publicada</t>
        </is>
      </c>
      <c r="F12" s="11" t="inlineStr">
        <is>
          <t>2026-08-31 15:00</t>
        </is>
      </c>
      <c r="G12" s="11" t="n">
        <v>1101</v>
      </c>
      <c r="H12" s="11" t="inlineStr">
        <is>
          <t>2026-08-25</t>
        </is>
      </c>
      <c r="I12" s="11" t="inlineStr">
        <is>
          <t>2026-08-29</t>
        </is>
      </c>
      <c r="J12" s="11" t="n">
        <v>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7" customWidth="1" min="1" max="1"/>
    <col width="52" customWidth="1" min="2" max="2"/>
    <col width="34" customWidth="1" min="3" max="3"/>
    <col width="24" customWidth="1" min="4" max="4"/>
    <col width="6" customWidth="1" min="5" max="5"/>
    <col width="18" customWidth="1" min="6" max="6"/>
    <col width="12" customWidth="1" min="7" max="7"/>
    <col width="30" customWidth="1" min="8" max="8"/>
    <col width="17" customWidth="1" min="9" max="9"/>
    <col width="38" customWidth="1" min="10" max="10"/>
    <col width="18" customWidth="1" min="11" max="11"/>
    <col width="30" customWidth="1" min="12" max="12"/>
  </cols>
  <sheetData>
    <row r="1" ht="30" customHeight="1">
      <c r="A1" s="9" t="inlineStr">
        <is>
          <t>Score</t>
        </is>
      </c>
      <c r="B1" s="9" t="inlineStr">
        <is>
          <t>Nombre</t>
        </is>
      </c>
      <c r="C1" s="9" t="inlineStr">
        <is>
          <t>Organismo</t>
        </is>
      </c>
      <c r="D1" s="9" t="inlineStr">
        <is>
          <t>Region</t>
        </is>
      </c>
      <c r="E1" s="9" t="inlineStr">
        <is>
          <t>Tipo</t>
        </is>
      </c>
      <c r="F1" s="9" t="inlineStr">
        <is>
          <t>Monto publicado</t>
        </is>
      </c>
      <c r="G1" s="9" t="inlineStr">
        <is>
          <t>Monto UF</t>
        </is>
      </c>
      <c r="H1" s="9" t="inlineStr">
        <is>
          <t>Rango estimado por tipo</t>
        </is>
      </c>
      <c r="I1" s="9" t="inlineStr">
        <is>
          <t>Cierre</t>
        </is>
      </c>
      <c r="J1" s="9" t="inlineStr">
        <is>
          <t>Por que no entro</t>
        </is>
      </c>
      <c r="K1" s="9" t="inlineStr">
        <is>
          <t>Codigo</t>
        </is>
      </c>
      <c r="L1" s="9" t="inlineStr">
        <is>
          <t>URL</t>
        </is>
      </c>
    </row>
    <row r="2" ht="42" customHeight="1">
      <c r="A2" s="11" t="n">
        <v>62</v>
      </c>
      <c r="B2" s="13" t="inlineStr">
        <is>
          <t>SERVICIO DE ARRIENDO DE OFICINA CORPORATIVA EN MATO GROSSO DO SUL BRASIL PARA LA CORPORACIÓN REGIONAL DE DESARROLLO DE LA REGIÓN DE TARAPACÁ</t>
        </is>
      </c>
      <c r="C2" s="13" t="inlineStr">
        <is>
          <t>CORPORACION REGIONAL DE DESARROLLO DE LA REGION DE TARAPACA</t>
        </is>
      </c>
      <c r="D2" s="11" t="inlineStr">
        <is>
          <t>Región de Tarapacá</t>
        </is>
      </c>
      <c r="E2" s="11" t="inlineStr">
        <is>
          <t>CO</t>
        </is>
      </c>
      <c r="F2" s="11" t="inlineStr">
        <is>
          <t>CLP 26,000,000</t>
        </is>
      </c>
      <c r="G2" s="11" t="n">
        <v>636</v>
      </c>
      <c r="H2" s="11" t="inlineStr">
        <is>
          <t>obras 100-1.000 UTM</t>
        </is>
      </c>
      <c r="I2" s="11" t="inlineStr">
        <is>
          <t>2026-09-01 15:00</t>
        </is>
      </c>
      <c r="J2" s="13" t="inlineStr">
        <is>
          <t>bajo umbral de monto (Nacional, UF 636 (umbral UF 2.000))</t>
        </is>
      </c>
      <c r="K2" s="11" t="inlineStr">
        <is>
          <t>1422259-9-CO26</t>
        </is>
      </c>
      <c r="L2" s="14" t="inlineStr">
        <is>
          <t>Ver ficha</t>
        </is>
      </c>
    </row>
    <row r="4">
      <c r="A4" s="31" t="inlineStr">
        <is>
          <t>Estas licitaciones SI calzan con el servicio, pero quedan fuera por monto o plazo. Ojo: Mercado Publico publica el valor del CONTRATO (honorario), no el valor del activo — una tasacion de un edificio grande puede aparecer como UF 73. Revisar antes de descartar.</t>
        </is>
      </c>
    </row>
  </sheetData>
  <hyperlinks>
    <hyperlink xmlns:r="http://schemas.openxmlformats.org/officeDocument/2006/relationships" ref="L2"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43"/>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46" customWidth="1" min="4" max="4"/>
  </cols>
  <sheetData>
    <row r="1" ht="30" customHeight="1">
      <c r="A1" s="9" t="inlineStr">
        <is>
          <t>Codigo</t>
        </is>
      </c>
      <c r="B1" s="9" t="inlineStr">
        <is>
          <t>Nombre</t>
        </is>
      </c>
      <c r="C1" s="9" t="inlineStr">
        <is>
          <t>Score</t>
        </is>
      </c>
      <c r="D1" s="9" t="inlineStr">
        <is>
          <t>Motivo del descarte</t>
        </is>
      </c>
    </row>
    <row r="2">
      <c r="A2" s="11" t="inlineStr">
        <is>
          <t>1002772-88-LR26</t>
        </is>
      </c>
      <c r="B2" s="13" t="inlineStr">
        <is>
          <t>PRÓTESIS DE RODILLA EN CONSIGNACIÓN CON COMODATO</t>
        </is>
      </c>
      <c r="C2" s="11" t="n">
        <v>0</v>
      </c>
      <c r="D2" s="13" t="inlineStr">
        <is>
          <t>score 0 &lt; 30</t>
        </is>
      </c>
    </row>
    <row r="3">
      <c r="A3" s="11" t="inlineStr">
        <is>
          <t>1039-8-LP26</t>
        </is>
      </c>
      <c r="B3" s="13" t="inlineStr">
        <is>
          <t>SERVICIO DE ARRIENDO DE TRANSPORTE TERRESTRE</t>
        </is>
      </c>
      <c r="C3" s="11" t="n">
        <v>14</v>
      </c>
      <c r="D3" s="13" t="inlineStr">
        <is>
          <t>score 14 &lt; 30</t>
        </is>
      </c>
    </row>
    <row r="4">
      <c r="A4" s="11" t="inlineStr">
        <is>
          <t>1052836-6-LE26</t>
        </is>
      </c>
      <c r="B4" s="13" t="inlineStr">
        <is>
          <t>SERVICIO DE REHABILITACIÓN DE PUENTE EL DURAZNO</t>
        </is>
      </c>
      <c r="C4" s="11" t="n">
        <v>0</v>
      </c>
      <c r="D4" s="13" t="inlineStr">
        <is>
          <t>score 0 &lt; 30</t>
        </is>
      </c>
    </row>
    <row r="5">
      <c r="A5" s="11" t="inlineStr">
        <is>
          <t>1057049-273-LR26</t>
        </is>
      </c>
      <c r="B5" s="13" t="inlineStr">
        <is>
          <t>SHV SUMINISTRO DE REACTIVOS DE INMUNOHEMATOLOGIA CON EQUIPO EN COMODATO BANCO DE SANGRE</t>
        </is>
      </c>
      <c r="C5" s="11" t="n">
        <v>0</v>
      </c>
      <c r="D5" s="13" t="inlineStr">
        <is>
          <t>score 0 &lt; 30</t>
        </is>
      </c>
    </row>
    <row r="6">
      <c r="A6" s="11" t="inlineStr">
        <is>
          <t>1057049-285-LR26</t>
        </is>
      </c>
      <c r="B6" s="13" t="inlineStr">
        <is>
          <t>SHV SUMINISTRO DE REACTIVOS PARA EXAMEN DE ORINA CON COMODATO DE EQUIPOS LABORATORIO CENTRAL</t>
        </is>
      </c>
      <c r="C6" s="11" t="n">
        <v>0</v>
      </c>
      <c r="D6" s="13" t="inlineStr">
        <is>
          <t>score 0 &lt; 30</t>
        </is>
      </c>
    </row>
    <row r="7">
      <c r="A7" s="11" t="inlineStr">
        <is>
          <t>1057049-296-LR26</t>
        </is>
      </c>
      <c r="B7" s="13" t="inlineStr">
        <is>
          <t>JCD VALVULA BIOLOGICA CON COMODATO</t>
        </is>
      </c>
      <c r="C7" s="11" t="n">
        <v>0</v>
      </c>
      <c r="D7" s="13" t="inlineStr">
        <is>
          <t>score 0 &lt; 30</t>
        </is>
      </c>
    </row>
    <row r="8">
      <c r="A8" s="11" t="inlineStr">
        <is>
          <t>1057049-321-LE26</t>
        </is>
      </c>
      <c r="B8" s="13" t="inlineStr">
        <is>
          <t>ICC. Servicio de Mantenimiento y Reparación de Aluminios del Hospital Clínico San Borja Arriarán y Sus Comodatos</t>
        </is>
      </c>
      <c r="C8" s="11" t="n">
        <v>0</v>
      </c>
      <c r="D8" s="13" t="inlineStr">
        <is>
          <t>score 0 &lt; 30</t>
        </is>
      </c>
    </row>
    <row r="9">
      <c r="A9" s="11" t="inlineStr">
        <is>
          <t>1057049-322-I226</t>
        </is>
      </c>
      <c r="B9" s="13" t="inlineStr">
        <is>
          <t>SHV SUMINISTRO DE REACTIVOS PARA BIOLOGIA MOLECULAR CON COMODATO DE EQUIPOS LABORATORIO CENTRAL</t>
        </is>
      </c>
      <c r="C9" s="11" t="n">
        <v>0</v>
      </c>
      <c r="D9" s="13" t="inlineStr">
        <is>
          <t>score 0 &lt; 30</t>
        </is>
      </c>
    </row>
    <row r="10">
      <c r="A10" s="11" t="inlineStr">
        <is>
          <t>1057055-68-LP26</t>
        </is>
      </c>
      <c r="B10" s="13" t="inlineStr">
        <is>
          <t>GSP SUMINISTRO DE MEDICAMENTOS PROPOFOL CON EQUIPOS EN COMODATO</t>
        </is>
      </c>
      <c r="C10" s="11" t="n">
        <v>0</v>
      </c>
      <c r="D10" s="13" t="inlineStr">
        <is>
          <t>score 0 &lt; 30</t>
        </is>
      </c>
    </row>
    <row r="11">
      <c r="A11" s="11" t="inlineStr">
        <is>
          <t>1057402-144-LP26</t>
        </is>
      </c>
      <c r="B11" s="13" t="inlineStr">
        <is>
          <t>Contratación de Servicio de Arriendo de Bodegaje Externo para el Hospital Clínico de Magallanes</t>
        </is>
      </c>
      <c r="C11" s="11" t="n">
        <v>19</v>
      </c>
      <c r="D11" s="13" t="inlineStr">
        <is>
          <t>score 19 &lt; 30</t>
        </is>
      </c>
    </row>
    <row r="12">
      <c r="A12" s="11" t="inlineStr">
        <is>
          <t>1057404-82-LE26</t>
        </is>
      </c>
      <c r="B12" s="13" t="inlineStr">
        <is>
          <t xml:space="preserve">2do Llamado ARRIENDO TORRE ENDOSCOPICA OTORRINO  </t>
        </is>
      </c>
      <c r="C12" s="11" t="n">
        <v>0</v>
      </c>
      <c r="D12" s="13" t="inlineStr">
        <is>
          <t>score 0 &lt; 30</t>
        </is>
      </c>
    </row>
    <row r="13">
      <c r="A13" s="11" t="inlineStr">
        <is>
          <t>1057417-183-LP26</t>
        </is>
      </c>
      <c r="B13" s="13" t="inlineStr">
        <is>
          <t>pmt CONVENIO DE TRASLADO DE FÁRMACOS</t>
        </is>
      </c>
      <c r="C13" s="11" t="n">
        <v>0</v>
      </c>
      <c r="D13" s="13" t="inlineStr">
        <is>
          <t>score 0 &lt; 30</t>
        </is>
      </c>
    </row>
    <row r="14">
      <c r="A14" s="11" t="inlineStr">
        <is>
          <t>1057417-51-LP26</t>
        </is>
      </c>
      <c r="B14" s="13" t="inlineStr">
        <is>
          <t>CONVENIO DE SUMINISTRO DE FRESAS UN SOLO USO CON MOTOR DE NEURO  OTOLOGICO EN COMODATO</t>
        </is>
      </c>
      <c r="C14" s="11" t="n">
        <v>0</v>
      </c>
      <c r="D14" s="13" t="inlineStr">
        <is>
          <t>score 0 &lt; 30</t>
        </is>
      </c>
    </row>
    <row r="15">
      <c r="A15" s="11" t="inlineStr">
        <is>
          <t>1057420-37-LP26</t>
        </is>
      </c>
      <c r="B15" s="13" t="inlineStr">
        <is>
          <t>CONVENIO DE SUMINISTRO PARA EL SERVICIO DE TRASLADO DE FUNCIONARIOS EN ACTIVIDADES DOMICILIARIAS Y TERRENO DEL HOSPITAL DE LA FAMILIA Y LA COMUNIDAD DE HUÉPIL POR EL PERIODO DE 24 MESES 3ER LLAMADO</t>
        </is>
      </c>
      <c r="C15" s="11" t="n">
        <v>13</v>
      </c>
      <c r="D15" s="13" t="inlineStr">
        <is>
          <t>score 13 &lt; 30</t>
        </is>
      </c>
    </row>
    <row r="16">
      <c r="A16" s="11" t="inlineStr">
        <is>
          <t>1057429-28-LP26</t>
        </is>
      </c>
      <c r="B16" s="13" t="inlineStr">
        <is>
          <t xml:space="preserve">REACTIVOS HORMONALES CON EQUIPO EN COMODATO </t>
        </is>
      </c>
      <c r="C16" s="11" t="n">
        <v>0</v>
      </c>
      <c r="D16" s="13" t="inlineStr">
        <is>
          <t>score 0 &lt; 30</t>
        </is>
      </c>
    </row>
    <row r="17">
      <c r="A17" s="11" t="inlineStr">
        <is>
          <t>1057429-53-LP26</t>
        </is>
      </c>
      <c r="B17" s="13" t="inlineStr">
        <is>
          <t>REACTIVOS GASES EN SANGRE CON EQUIPOS EN COMODATO</t>
        </is>
      </c>
      <c r="C17" s="11" t="n">
        <v>0</v>
      </c>
      <c r="D17" s="13" t="inlineStr">
        <is>
          <t>score 0 &lt; 30</t>
        </is>
      </c>
    </row>
    <row r="18">
      <c r="A18" s="11" t="inlineStr">
        <is>
          <t>1057472-92-LP26</t>
        </is>
      </c>
      <c r="B18" s="13" t="inlineStr">
        <is>
          <t>ARRIENDO CASILLEROS INTELIGENTES PARA FARMACIA AMB</t>
        </is>
      </c>
      <c r="C18" s="11" t="n">
        <v>0</v>
      </c>
      <c r="D18" s="13" t="inlineStr">
        <is>
          <t>score 0 &lt; 30</t>
        </is>
      </c>
    </row>
    <row r="19">
      <c r="A19" s="11" t="inlineStr">
        <is>
          <t>1057480-46-LR26</t>
        </is>
      </c>
      <c r="B19" s="13" t="inlineStr">
        <is>
          <t xml:space="preserve">Adquisición de Servicio externo de traslado de pacientes para El Hospital San José de Melipilla </t>
        </is>
      </c>
      <c r="C19" s="11" t="n">
        <v>0</v>
      </c>
      <c r="D19" s="13" t="inlineStr">
        <is>
          <t>score 0 &lt; 30</t>
        </is>
      </c>
    </row>
    <row r="20">
      <c r="A20" s="11" t="inlineStr">
        <is>
          <t>1057489-255-LE26</t>
        </is>
      </c>
      <c r="B20" s="13" t="inlineStr">
        <is>
          <t>Funcionamiento y Habilitación de nueva Bodega</t>
        </is>
      </c>
      <c r="C20" s="11" t="n">
        <v>13</v>
      </c>
      <c r="D20" s="13" t="inlineStr">
        <is>
          <t>score 13 &lt; 30</t>
        </is>
      </c>
    </row>
    <row r="21">
      <c r="A21" s="11" t="inlineStr">
        <is>
          <t>1057490-50-LR26</t>
        </is>
      </c>
      <c r="B21" s="13" t="inlineStr">
        <is>
          <t>Arriendo Lavado y Administración de Ropa.</t>
        </is>
      </c>
      <c r="C21" s="11" t="n">
        <v>0</v>
      </c>
      <c r="D21" s="13" t="inlineStr">
        <is>
          <t>score 0 &lt; 30</t>
        </is>
      </c>
    </row>
    <row r="22">
      <c r="A22" s="11" t="inlineStr">
        <is>
          <t>1057490-57-LP26</t>
        </is>
      </c>
      <c r="B22" s="13" t="inlineStr">
        <is>
          <t>SERVICIO DE ARRIENDO DE EQUIPO DE NEUROMONITOREO I</t>
        </is>
      </c>
      <c r="C22" s="11" t="n">
        <v>0</v>
      </c>
      <c r="D22" s="13" t="inlineStr">
        <is>
          <t>score 0 &lt; 30</t>
        </is>
      </c>
    </row>
    <row r="23">
      <c r="A23" s="11" t="inlineStr">
        <is>
          <t>1057490-65-LE26</t>
        </is>
      </c>
      <c r="B23" s="13" t="inlineStr">
        <is>
          <t>SUMINISTRO DE REACTIVOS PARA EL ANÁLISIS DE HORMONAS CON ARRIENDO DE EQUIPO PARA EL SERVICIO DE LABORATORIO</t>
        </is>
      </c>
      <c r="C23" s="11" t="n">
        <v>0</v>
      </c>
      <c r="D23" s="13" t="inlineStr">
        <is>
          <t>score 0 &lt; 30</t>
        </is>
      </c>
    </row>
    <row r="24">
      <c r="A24" s="11" t="inlineStr">
        <is>
          <t>1057492-111-LP26</t>
        </is>
      </c>
      <c r="B24" s="13" t="inlineStr">
        <is>
          <t>ARRIENDO CAJAS DE INSTRUMENTAL QX PARA UROLOGÍA</t>
        </is>
      </c>
      <c r="C24" s="11" t="n">
        <v>0</v>
      </c>
      <c r="D24" s="13" t="inlineStr">
        <is>
          <t>score 0 &lt; 30</t>
        </is>
      </c>
    </row>
    <row r="25">
      <c r="A25" s="11" t="inlineStr">
        <is>
          <t>1057501-435-LR26</t>
        </is>
      </c>
      <c r="B25" s="13" t="inlineStr">
        <is>
          <t>ARRIENDO DE ARCO C Y EQUIPO RAYO PORTÁTIL</t>
        </is>
      </c>
      <c r="C25" s="11" t="n">
        <v>0</v>
      </c>
      <c r="D25" s="13" t="inlineStr">
        <is>
          <t>score 0 &lt; 30</t>
        </is>
      </c>
    </row>
    <row r="26">
      <c r="A26" s="11" t="inlineStr">
        <is>
          <t>1057501-477-LP26</t>
        </is>
      </c>
      <c r="B26" s="13" t="inlineStr">
        <is>
          <t>Convenio reactivos para exámenes de inmunología serología infecciona y Autoinmunidad con equipos en comodato por 24 meses</t>
        </is>
      </c>
      <c r="C26" s="11" t="n">
        <v>0</v>
      </c>
      <c r="D26" s="13" t="inlineStr">
        <is>
          <t>score 0 &lt; 30</t>
        </is>
      </c>
    </row>
    <row r="27">
      <c r="A27" s="11" t="inlineStr">
        <is>
          <t>1057501-488-LE26</t>
        </is>
      </c>
      <c r="B27" s="13" t="inlineStr">
        <is>
          <t>ARRIENDO MODULOS BODEGA PARA INFORMÁTICA HSR</t>
        </is>
      </c>
      <c r="C27" s="11" t="n">
        <v>19</v>
      </c>
      <c r="D27" s="13" t="inlineStr">
        <is>
          <t>score 19 &lt; 30</t>
        </is>
      </c>
    </row>
    <row r="28">
      <c r="A28" s="11" t="inlineStr">
        <is>
          <t>1057501-493-LP26</t>
        </is>
      </c>
      <c r="B28" s="13" t="inlineStr">
        <is>
          <t>ARRIENDO DE MÁQUINA DE ANESTESIA HSR</t>
        </is>
      </c>
      <c r="C28" s="11" t="n">
        <v>0</v>
      </c>
      <c r="D28" s="13" t="inlineStr">
        <is>
          <t>score 0 &lt; 30</t>
        </is>
      </c>
    </row>
    <row r="29">
      <c r="A29" s="11" t="inlineStr">
        <is>
          <t>1057503-125-LE26</t>
        </is>
      </c>
      <c r="B29" s="13" t="inlineStr">
        <is>
          <t>Contratación del Servicio de Arriendo de Litotriptor y Nefroscopio para el Hospital Padre Alberto Hurtado</t>
        </is>
      </c>
      <c r="C29" s="11" t="n">
        <v>0</v>
      </c>
      <c r="D29" s="13" t="inlineStr">
        <is>
          <t>score 0 &lt; 30</t>
        </is>
      </c>
    </row>
    <row r="30">
      <c r="A30" s="11" t="inlineStr">
        <is>
          <t>1057509-253-LE26</t>
        </is>
      </c>
      <c r="B30" s="13" t="inlineStr">
        <is>
          <t>CONVENIO COMPRA SERVICIOS PROFESIONALES DE TERAPEUTA OCUPACIONAL PARA PROYECTO DE NEUROREHABILITACIÓN PARA USUARIOS SECUELADOS DE ATAQUE CEREBROVASCULAR mjv</t>
        </is>
      </c>
      <c r="C30" s="11" t="n">
        <v>10</v>
      </c>
      <c r="D30" s="13" t="inlineStr">
        <is>
          <t>score 10 &lt; 30</t>
        </is>
      </c>
    </row>
    <row r="31">
      <c r="A31" s="11" t="inlineStr">
        <is>
          <t>1057539-118-LP26</t>
        </is>
      </c>
      <c r="B31" s="13" t="inlineStr">
        <is>
          <t>ARRIENDO DE DOS TORRES DE LAPAROSCOPIA</t>
        </is>
      </c>
      <c r="C31" s="11" t="n">
        <v>0</v>
      </c>
      <c r="D31" s="13" t="inlineStr">
        <is>
          <t>score 0 &lt; 30</t>
        </is>
      </c>
    </row>
    <row r="32">
      <c r="A32" s="11" t="inlineStr">
        <is>
          <t>1057547-348-LE26</t>
        </is>
      </c>
      <c r="B32" s="13" t="inlineStr">
        <is>
          <t>ADQUISICION BRONCOSCOPIOS DESECHABLES CON COMODATO DE MONITOR</t>
        </is>
      </c>
      <c r="C32" s="11" t="n">
        <v>0</v>
      </c>
      <c r="D32" s="13" t="inlineStr">
        <is>
          <t>score 0 &lt; 30</t>
        </is>
      </c>
    </row>
    <row r="33">
      <c r="A33" s="11" t="inlineStr">
        <is>
          <t>1057547-350-LR26</t>
        </is>
      </c>
      <c r="B33" s="13" t="inlineStr">
        <is>
          <t>ADQUISICION PROTESIS CADERAS CON COMODATO INSTRUMENTAL QUIRURGICO</t>
        </is>
      </c>
      <c r="C33" s="11" t="n">
        <v>0</v>
      </c>
      <c r="D33" s="13" t="inlineStr">
        <is>
          <t>score 0 &lt; 30</t>
        </is>
      </c>
    </row>
    <row r="34">
      <c r="A34" s="11" t="inlineStr">
        <is>
          <t>1057547-354-LP26</t>
        </is>
      </c>
      <c r="B34" s="13" t="inlineStr">
        <is>
          <t>ARRIENDO 1 TORRE LAPAROSCOPIA CON OPTICA DE 0 Y 30</t>
        </is>
      </c>
      <c r="C34" s="11" t="n">
        <v>0</v>
      </c>
      <c r="D34" s="13" t="inlineStr">
        <is>
          <t>score 0 &lt; 30</t>
        </is>
      </c>
    </row>
    <row r="35">
      <c r="A35" s="11" t="inlineStr">
        <is>
          <t>1057736-6-L126</t>
        </is>
      </c>
      <c r="B35" s="13" t="inlineStr">
        <is>
          <t>SERVICIO DE TRANSPORTE Y TRASLADO DE PASAJEROS PARA LA UNIDAD DE BIENESTAR</t>
        </is>
      </c>
      <c r="C35" s="11" t="n">
        <v>0</v>
      </c>
      <c r="D35" s="13" t="inlineStr">
        <is>
          <t>score 0 &lt; 30</t>
        </is>
      </c>
    </row>
    <row r="36">
      <c r="A36" s="11" t="inlineStr">
        <is>
          <t>1057922-22-LP26</t>
        </is>
      </c>
      <c r="B36" s="13" t="inlineStr">
        <is>
          <t>ADQUISICIÓN EQUIPAMIENTO MÉDICO PARA HABILITACIÓN DE CESFAM CON SAR RAHUE ALTO</t>
        </is>
      </c>
      <c r="C36" s="11" t="n">
        <v>0</v>
      </c>
      <c r="D36" s="13" t="inlineStr">
        <is>
          <t>score 0 &lt; 30</t>
        </is>
      </c>
    </row>
    <row r="37">
      <c r="A37" s="11" t="inlineStr">
        <is>
          <t>1057977-12-LE26</t>
        </is>
      </c>
      <c r="B37" s="13" t="inlineStr">
        <is>
          <t>cierro terreno futuro H. Rio Negro Hornopiren</t>
        </is>
      </c>
      <c r="C37" s="11" t="n">
        <v>9</v>
      </c>
      <c r="D37" s="13" t="inlineStr">
        <is>
          <t>solo mencion de inmueble, sin servicio inmobiliario</t>
        </is>
      </c>
    </row>
    <row r="38">
      <c r="A38" s="11" t="inlineStr">
        <is>
          <t>1070620-86-LP26</t>
        </is>
      </c>
      <c r="B38" s="13" t="inlineStr">
        <is>
          <t>PZM-SUM.RF PARA ARTROSCOPIA CON EQUIPO EN COMODATO</t>
        </is>
      </c>
      <c r="C38" s="11" t="n">
        <v>0</v>
      </c>
      <c r="D38" s="13" t="inlineStr">
        <is>
          <t>score 0 &lt; 30</t>
        </is>
      </c>
    </row>
    <row r="39">
      <c r="A39" s="11" t="inlineStr">
        <is>
          <t>1071775-12-LE26</t>
        </is>
      </c>
      <c r="B39" s="13" t="inlineStr">
        <is>
          <t>TRASLADO DE ESTUDIANTES ULAGOS SEDE CHILOÉ -PIDPID</t>
        </is>
      </c>
      <c r="C39" s="11" t="n">
        <v>12</v>
      </c>
      <c r="D39" s="13" t="inlineStr">
        <is>
          <t>score 12 &lt; 30</t>
        </is>
      </c>
    </row>
    <row r="40">
      <c r="A40" s="11" t="inlineStr">
        <is>
          <t>1075963-309-LP26</t>
        </is>
      </c>
      <c r="B40" s="13" t="inlineStr">
        <is>
          <t>CONVENIO DE SUMINISTRO DE TIRAS REACTIVAS DE GLICEMIA CON EQUIPO EN COMODATO DE MONITOR DE GLICEMIA CAPILAR POR 36 MESES</t>
        </is>
      </c>
      <c r="C40" s="11" t="n">
        <v>0</v>
      </c>
      <c r="D40" s="13" t="inlineStr">
        <is>
          <t>score 0 &lt; 30</t>
        </is>
      </c>
    </row>
    <row r="41">
      <c r="A41" s="11" t="inlineStr">
        <is>
          <t>1075963-315-LP26</t>
        </is>
      </c>
      <c r="B41" s="13" t="inlineStr">
        <is>
          <t>CONVENIO DE SUMINISTRO DE CINTAS REACTIVAS DE PROTROMBINA CON EQUIPO EN COMODATO POR 36 MESES</t>
        </is>
      </c>
      <c r="C41" s="11" t="n">
        <v>0</v>
      </c>
      <c r="D41" s="13" t="inlineStr">
        <is>
          <t>score 0 &lt; 30</t>
        </is>
      </c>
    </row>
    <row r="42">
      <c r="A42" s="11" t="inlineStr">
        <is>
          <t>1078177-45-LE26</t>
        </is>
      </c>
      <c r="B42" s="13" t="inlineStr">
        <is>
          <t>ADQUISICION DE SERVICIO DE CAMBIO DE VENTANAS PARA LA ZONA DE CARABINEROS ARAUCANÍA.</t>
        </is>
      </c>
      <c r="C42" s="11" t="n">
        <v>10</v>
      </c>
      <c r="D42" s="13" t="inlineStr">
        <is>
          <t>score 10 &lt; 30</t>
        </is>
      </c>
    </row>
    <row r="43">
      <c r="A43" s="11" t="inlineStr">
        <is>
          <t>1079969-19-LP26</t>
        </is>
      </c>
      <c r="B43" s="13" t="inlineStr">
        <is>
          <t>CAMBIO DE CUBIERTA Y MEJORAMIENTO GALPÓN O.S.11.</t>
        </is>
      </c>
      <c r="C43" s="11" t="n">
        <v>7</v>
      </c>
      <c r="D43" s="13" t="inlineStr">
        <is>
          <t>solo mencion de inmueble, sin servicio inmobiliario</t>
        </is>
      </c>
    </row>
    <row r="44">
      <c r="A44" s="11" t="inlineStr">
        <is>
          <t>1080936-43-LE26</t>
        </is>
      </c>
      <c r="B44" s="13" t="inlineStr">
        <is>
          <t>SERVICIO DE MANTENCIÓN DEL SISTEMA DE DETECCIÓN ALARMA Y CONTROL DE INCENDIO DEL EDIFICIO DE LA ESCUELA DE INVESTIGACIONES POLICIALES</t>
        </is>
      </c>
      <c r="C44" s="11" t="n">
        <v>8</v>
      </c>
      <c r="D44" s="13" t="inlineStr">
        <is>
          <t>solo mencion de inmueble, sin servicio inmobiliario</t>
        </is>
      </c>
    </row>
    <row r="45">
      <c r="A45" s="11" t="inlineStr">
        <is>
          <t>1099402-21-L126</t>
        </is>
      </c>
      <c r="B45" s="13" t="inlineStr">
        <is>
          <t>ARRIENDO DE ESPACIO PARA DISPOSICIÓN DE KIOSKO O CAFETERIA</t>
        </is>
      </c>
      <c r="C45" s="11" t="n">
        <v>17</v>
      </c>
      <c r="D45" s="13" t="inlineStr">
        <is>
          <t>score 17 &lt; 30</t>
        </is>
      </c>
    </row>
    <row r="46">
      <c r="A46" s="11" t="inlineStr">
        <is>
          <t>1109692-8-LE26</t>
        </is>
      </c>
      <c r="B46" s="13" t="inlineStr">
        <is>
          <t>EQUIPAMIENTO AUDIOVISUAL Y MULTIMEDIA SEDE PORVENIR</t>
        </is>
      </c>
      <c r="C46" s="11" t="n">
        <v>8</v>
      </c>
      <c r="D46" s="13" t="inlineStr">
        <is>
          <t>solo mencion de inmueble, sin servicio inmobiliario</t>
        </is>
      </c>
    </row>
    <row r="47">
      <c r="A47" s="11" t="inlineStr">
        <is>
          <t>1110404-155-L126</t>
        </is>
      </c>
      <c r="B47" s="13" t="inlineStr">
        <is>
          <t>CONTRATACIÓN DE SERVICIO DE ARRIENDO DE CENTRO DE CONVENCIONES PARA LA REALIZACIÓN DEL ‘I CONVERSATORIO COMUNAL DE JÓVENES ESTUDIANTES TÉCNICO PROFESIONALES.</t>
        </is>
      </c>
      <c r="C47" s="11" t="n">
        <v>0</v>
      </c>
      <c r="D47" s="13" t="inlineStr">
        <is>
          <t>score 0 &lt; 30</t>
        </is>
      </c>
    </row>
    <row r="48">
      <c r="A48" s="11" t="inlineStr">
        <is>
          <t>1110404-165-L126</t>
        </is>
      </c>
      <c r="B48" s="13" t="inlineStr">
        <is>
          <t>ADQUISICIÓN DE MATERIALES DE OFICINA Y APOYO PEDAGÓGICO PARA ESTABLECIMIENTOS EDUCACIONALES DEL SLEP CHINCHORRO</t>
        </is>
      </c>
      <c r="C48" s="11" t="n">
        <v>10</v>
      </c>
      <c r="D48" s="13" t="inlineStr">
        <is>
          <t>solo mencion de inmueble, sin servicio inmobiliario</t>
        </is>
      </c>
    </row>
    <row r="49">
      <c r="A49" s="11" t="inlineStr">
        <is>
          <t>1126922-33-LP26</t>
        </is>
      </c>
      <c r="B49" s="13" t="inlineStr">
        <is>
          <t>SUMINISTRO DE SERVICIOS DE CONTROL DE PLAGAS PARA ESTABLECIMIENTOS EDUCACIONALES JARDINES INFANTILES Y OFICINAS DEL SERVICIO LOCAL DE EDUCACIÓN PÚBLICA DE LLANQUIHUE</t>
        </is>
      </c>
      <c r="C49" s="11" t="n">
        <v>10</v>
      </c>
      <c r="D49" s="13" t="inlineStr">
        <is>
          <t>solo mencion de inmueble, sin servicio inmobiliario</t>
        </is>
      </c>
    </row>
    <row r="50">
      <c r="A50" s="11" t="inlineStr">
        <is>
          <t>1134432-67-LE26</t>
        </is>
      </c>
      <c r="B50" s="13" t="inlineStr">
        <is>
          <t>ADQUISICIÓN DE EQUIPAMIENTO VETERINARIO PARA LA OFICINA DE TENENCIA RESPONSABLE Y ZOONOSIS</t>
        </is>
      </c>
      <c r="C50" s="11" t="n">
        <v>10</v>
      </c>
      <c r="D50" s="13" t="inlineStr">
        <is>
          <t>solo mencion de inmueble, sin servicio inmobiliario</t>
        </is>
      </c>
    </row>
    <row r="51">
      <c r="A51" s="11" t="inlineStr">
        <is>
          <t>1160-14-LE26</t>
        </is>
      </c>
      <c r="B51" s="13" t="inlineStr">
        <is>
          <t>8305 Arriendo de Equinos Biobio-Queuco SAG Mulchén</t>
        </is>
      </c>
      <c r="C51" s="11" t="n">
        <v>17</v>
      </c>
      <c r="D51" s="13" t="inlineStr">
        <is>
          <t>score 17 &lt; 30</t>
        </is>
      </c>
    </row>
    <row r="52">
      <c r="A52" s="11" t="inlineStr">
        <is>
          <t>1160-15-LE26</t>
        </is>
      </c>
      <c r="B52" s="13" t="inlineStr">
        <is>
          <t>8101REPARACION Y MANTENCIÓN OFICINAS CONCEPCIÓN</t>
        </is>
      </c>
      <c r="C52" s="11" t="n">
        <v>10</v>
      </c>
      <c r="D52" s="13" t="inlineStr">
        <is>
          <t>solo mencion de inmueble, sin servicio inmobiliario</t>
        </is>
      </c>
    </row>
    <row r="53">
      <c r="A53" s="11" t="inlineStr">
        <is>
          <t>1165648-6-L126</t>
        </is>
      </c>
      <c r="B53" s="13" t="inlineStr">
        <is>
          <t>SERVICIO INTEGRAL DE MANTENIMIENTO PREVENTIVO, ASISTENCIA TÉCNICA, DIAGNÓSTICO, ATENCIÓN CORRECTIVA Y SOPORTE CONTINUO PARA SILLONES DENTALES Y COMPRESOR DEL DEPARTAMENTO DE SALUD MUNICIPAL DE LIMACHE</t>
        </is>
      </c>
      <c r="C53" s="11" t="n">
        <v>5</v>
      </c>
      <c r="D53" s="13" t="inlineStr">
        <is>
          <t>solo mencion de inmueble, sin servicio inmobiliario</t>
        </is>
      </c>
    </row>
    <row r="54">
      <c r="A54" s="11" t="inlineStr">
        <is>
          <t>1180730-37-LP26</t>
        </is>
      </c>
      <c r="B54" s="13" t="inlineStr">
        <is>
          <t>HABILITACION RECINTOS SERVICIO ONCOLÓGICO HCM</t>
        </is>
      </c>
      <c r="C54" s="11" t="n">
        <v>11</v>
      </c>
      <c r="D54" s="13" t="inlineStr">
        <is>
          <t>score 11 &lt; 30</t>
        </is>
      </c>
    </row>
    <row r="55">
      <c r="A55" s="11" t="inlineStr">
        <is>
          <t>1180830-16-LR26</t>
        </is>
      </c>
      <c r="B55" s="13" t="inlineStr">
        <is>
          <t>CONST. BODEGA FARMACIA CAN PP 77-2026</t>
        </is>
      </c>
      <c r="C55" s="11" t="n">
        <v>7</v>
      </c>
      <c r="D55" s="13" t="inlineStr">
        <is>
          <t>solo mencion de inmueble, sin servicio inmobiliario</t>
        </is>
      </c>
    </row>
    <row r="56">
      <c r="A56" s="11" t="inlineStr">
        <is>
          <t>1216085-59-LP26</t>
        </is>
      </c>
      <c r="B56" s="13" t="inlineStr">
        <is>
          <t>SUMINISTRO EN COMODATO HEMOGLOBINA GLICOSILADA</t>
        </is>
      </c>
      <c r="C56" s="11" t="n">
        <v>0</v>
      </c>
      <c r="D56" s="13" t="inlineStr">
        <is>
          <t>score 0 &lt; 30</t>
        </is>
      </c>
    </row>
    <row r="57">
      <c r="A57" s="11" t="inlineStr">
        <is>
          <t>1232565-33-LE26</t>
        </is>
      </c>
      <c r="B57" s="13" t="inlineStr">
        <is>
          <t>ARRIENDO EQUPO E INSFRAESTRUCTURA PROYECTO ULS2493</t>
        </is>
      </c>
      <c r="C57" s="11" t="n">
        <v>0</v>
      </c>
      <c r="D57" s="13" t="inlineStr">
        <is>
          <t>score 0 &lt; 30</t>
        </is>
      </c>
    </row>
    <row r="58">
      <c r="A58" s="11" t="inlineStr">
        <is>
          <t>1233615-56-LE26</t>
        </is>
      </c>
      <c r="B58" s="13" t="inlineStr">
        <is>
          <t>HABILITACIÓN CENTRO DE DISTRIBUCIÓN REGIONAL</t>
        </is>
      </c>
      <c r="C58" s="11" t="n">
        <v>0</v>
      </c>
      <c r="D58" s="13" t="inlineStr">
        <is>
          <t>score 0 &lt; 30</t>
        </is>
      </c>
    </row>
    <row r="59">
      <c r="A59" s="11" t="inlineStr">
        <is>
          <t>1261-19-LR26</t>
        </is>
      </c>
      <c r="B59" s="13" t="inlineStr">
        <is>
          <t>Habilitación paseo urbanofluvial lecho río Mapocho</t>
        </is>
      </c>
      <c r="C59" s="11" t="n">
        <v>0</v>
      </c>
      <c r="D59" s="13" t="inlineStr">
        <is>
          <t>score 0 &lt; 30</t>
        </is>
      </c>
    </row>
    <row r="60">
      <c r="A60" s="11" t="inlineStr">
        <is>
          <t>1271359-120-B226</t>
        </is>
      </c>
      <c r="B60" s="13" t="inlineStr">
        <is>
          <t>ARRIENDO MODULOS Y PASILLOS DE CIRCULACIÓN - C.BAUZA</t>
        </is>
      </c>
      <c r="C60" s="11" t="n">
        <v>14</v>
      </c>
      <c r="D60" s="13" t="inlineStr">
        <is>
          <t>score 14 &lt; 30</t>
        </is>
      </c>
    </row>
    <row r="61">
      <c r="A61" s="11" t="inlineStr">
        <is>
          <t>1280-41-LE26</t>
        </is>
      </c>
      <c r="B61" s="13" t="inlineStr">
        <is>
          <t>SERVICIO DE TRASLADO E INSTALACION DE SEÑALES</t>
        </is>
      </c>
      <c r="C61" s="11" t="n">
        <v>6</v>
      </c>
      <c r="D61" s="13" t="inlineStr">
        <is>
          <t>score 6 &lt; 30</t>
        </is>
      </c>
    </row>
    <row r="62">
      <c r="A62" s="11" t="inlineStr">
        <is>
          <t>1280-42-LE26</t>
        </is>
      </c>
      <c r="B62" s="13" t="inlineStr">
        <is>
          <t>ARRIENDO DOS RODILLOS LISOS SIMPLES</t>
        </is>
      </c>
      <c r="C62" s="11" t="n">
        <v>0</v>
      </c>
      <c r="D62" s="13" t="inlineStr">
        <is>
          <t>score 0 &lt; 30</t>
        </is>
      </c>
    </row>
    <row r="63">
      <c r="A63" s="11" t="inlineStr">
        <is>
          <t>1293138-13-LP26</t>
        </is>
      </c>
      <c r="B63" s="13" t="inlineStr">
        <is>
          <t>BODEGA ABAST SOMBREADERO JARDIN INFANTIL Y OTROS</t>
        </is>
      </c>
      <c r="C63" s="11" t="n">
        <v>7</v>
      </c>
      <c r="D63" s="13" t="inlineStr">
        <is>
          <t>solo mencion de inmueble, sin servicio inmobiliario</t>
        </is>
      </c>
    </row>
    <row r="64">
      <c r="A64" s="11" t="inlineStr">
        <is>
          <t>1305527-3-LP26</t>
        </is>
      </c>
      <c r="B64" s="13" t="inlineStr">
        <is>
          <t>CONTRAT. ARRIENDO DEL SIST. DE CONTROL DE ASIS</t>
        </is>
      </c>
      <c r="C64" s="11" t="n">
        <v>0</v>
      </c>
      <c r="D64" s="13" t="inlineStr">
        <is>
          <t>score 0 &lt; 30</t>
        </is>
      </c>
    </row>
    <row r="65">
      <c r="A65" s="11" t="inlineStr">
        <is>
          <t>1336-18-LP26</t>
        </is>
      </c>
      <c r="B65" s="13" t="inlineStr">
        <is>
          <t>SERVICIO DE ARRIENDO DE MOTONIVELADORA PARA OPERACIÓN DE REPERFILADO SIMPLE</t>
        </is>
      </c>
      <c r="C65" s="11" t="n">
        <v>0</v>
      </c>
      <c r="D65" s="13" t="inlineStr">
        <is>
          <t>score 0 &lt; 30</t>
        </is>
      </c>
    </row>
    <row r="66">
      <c r="A66" s="11" t="inlineStr">
        <is>
          <t>1350-7-LE26</t>
        </is>
      </c>
      <c r="B66" s="13" t="inlineStr">
        <is>
          <t>SERVICIO MANTENCIÓN DE ÁREAS VERDES PARA OFICINAS</t>
        </is>
      </c>
      <c r="C66" s="11" t="n">
        <v>10</v>
      </c>
      <c r="D66" s="13" t="inlineStr">
        <is>
          <t>solo mencion de inmueble, sin servicio inmobiliario</t>
        </is>
      </c>
    </row>
    <row r="67">
      <c r="A67" s="11" t="inlineStr">
        <is>
          <t>1395865-16-LE26</t>
        </is>
      </c>
      <c r="B67" s="13" t="inlineStr">
        <is>
          <t>SERVICIO MANTENCIÓN PREVENTIVA ÁREA SANITARIA ARTEFACTOS SANITARIOS - TEATRO REGIONAL CERVANTES Y OFICINAS ADMINISTRATIVAS ASOCIACIÓN PATRIMONIAL CULTURAL REGIÓN DE LOS RÍOS</t>
        </is>
      </c>
      <c r="C67" s="11" t="n">
        <v>10</v>
      </c>
      <c r="D67" s="13" t="inlineStr">
        <is>
          <t>solo mencion de inmueble, sin servicio inmobiliario</t>
        </is>
      </c>
    </row>
    <row r="68">
      <c r="A68" s="11" t="inlineStr">
        <is>
          <t>1415863-2-LE26</t>
        </is>
      </c>
      <c r="B68" s="13" t="inlineStr">
        <is>
          <t>SERVICIO DE EVALUACIONES PSICOLABORALES PARA EL PROCESO DE RECLUTAMIENTO Y SELECCIÓN DEL DEPARTAMENTO DE GESTIÓN Y DESARROLLO DE LAS PERSONAS DEL INSTITUTO DE SEGURIDAD LABORAL</t>
        </is>
      </c>
      <c r="C68" s="11" t="n">
        <v>5</v>
      </c>
      <c r="D68" s="13" t="inlineStr">
        <is>
          <t>solo mencion de inmueble, sin servicio inmobiliario</t>
        </is>
      </c>
    </row>
    <row r="69">
      <c r="A69" s="11" t="inlineStr">
        <is>
          <t>1422824-1-LR26</t>
        </is>
      </c>
      <c r="B69" s="13" t="inlineStr">
        <is>
          <t>CONTRATO DE SUMINISTRO DE REACTIVOS PARA EXÁMENES BIOQUÍMICOS INMUNOENDOCRINOLÓGICOS Y SEROLOGICOS CON EQUIPAMIENTO Y SISTEMA INFORMÁTICO DE LABORATORIO EN COMODATO PARA EL HOSPITAL CARLOS VAN BUREN</t>
        </is>
      </c>
      <c r="C69" s="11" t="n">
        <v>0</v>
      </c>
      <c r="D69" s="13" t="inlineStr">
        <is>
          <t>score 0 &lt; 30</t>
        </is>
      </c>
    </row>
    <row r="70">
      <c r="A70" s="11" t="inlineStr">
        <is>
          <t>1422832-9-LR26</t>
        </is>
      </c>
      <c r="B70" s="13" t="inlineStr">
        <is>
          <t>CONTRATO DE SERVICIOS DE ARRENDAMIENTO DE NEUROMONITOREO INTRAOPERATORIO ASPIRADOR ULTRASÓNICO KIT PARA NEUROTOMIA LUMBAR POR RADIOFRECUENCIA PARA EL SERVICIO DE NEUROCIRUGIA DEL HOSPITAL CARLOS VAN BUREN</t>
        </is>
      </c>
      <c r="C70" s="11" t="n">
        <v>0</v>
      </c>
      <c r="D70" s="13" t="inlineStr">
        <is>
          <t>score 0 &lt; 30</t>
        </is>
      </c>
    </row>
    <row r="71">
      <c r="A71" s="11" t="inlineStr">
        <is>
          <t>1426098-12-LP26</t>
        </is>
      </c>
      <c r="B71" s="13" t="inlineStr">
        <is>
          <t>HABILITACIÓN CONTROL DE ACCESO IP IRC CORONEL</t>
        </is>
      </c>
      <c r="C71" s="11" t="n">
        <v>8</v>
      </c>
      <c r="D71" s="13" t="inlineStr">
        <is>
          <t>score 8 &lt; 30</t>
        </is>
      </c>
    </row>
    <row r="72">
      <c r="A72" s="11" t="inlineStr">
        <is>
          <t>1443-1-LE26</t>
        </is>
      </c>
      <c r="B72" s="13" t="inlineStr">
        <is>
          <t>Servicio de bodegaje y almacenamiento</t>
        </is>
      </c>
      <c r="C72" s="11" t="n">
        <v>7</v>
      </c>
      <c r="D72" s="13" t="inlineStr">
        <is>
          <t>solo mencion de inmueble, sin servicio inmobiliario</t>
        </is>
      </c>
    </row>
    <row r="73">
      <c r="A73" s="11" t="inlineStr">
        <is>
          <t>1448821-14-LP26</t>
        </is>
      </c>
      <c r="B73" s="13" t="inlineStr">
        <is>
          <t>HABILITACIÓN POZO PROFUNDO HUEQUI NORTE CHAITÉN</t>
        </is>
      </c>
      <c r="C73" s="11" t="n">
        <v>0</v>
      </c>
      <c r="D73" s="13" t="inlineStr">
        <is>
          <t>score 0 &lt; 30</t>
        </is>
      </c>
    </row>
    <row r="74">
      <c r="A74" s="11" t="inlineStr">
        <is>
          <t>1460278-46-L126</t>
        </is>
      </c>
      <c r="B74" s="13" t="inlineStr">
        <is>
          <t>Provisión de Kiosko metálico de medidas 2,4 x 6 mts, con puerta de acceso y ventana,  para el sector de Ruiz Tagle, Fac. Tecnológica.</t>
        </is>
      </c>
      <c r="C74" s="11" t="n">
        <v>10</v>
      </c>
      <c r="D74" s="13" t="inlineStr">
        <is>
          <t>score 10 &lt; 30</t>
        </is>
      </c>
    </row>
    <row r="75">
      <c r="A75" s="11" t="inlineStr">
        <is>
          <t>1464-58-L126</t>
        </is>
      </c>
      <c r="B75" s="13" t="inlineStr">
        <is>
          <t>TELE ELECTROCARDIOGRAFIA: ARRIENDO DE EQUIPO E INF</t>
        </is>
      </c>
      <c r="C75" s="11" t="n">
        <v>0</v>
      </c>
      <c r="D75" s="13" t="inlineStr">
        <is>
          <t>score 0 &lt; 30</t>
        </is>
      </c>
    </row>
    <row r="76">
      <c r="A76" s="11" t="inlineStr">
        <is>
          <t>1469-166-L126</t>
        </is>
      </c>
      <c r="B76" s="13" t="inlineStr">
        <is>
          <t>“SERVICIO DE REMODELACIÓN DE OFICINA DIRECCION DE INVESTIGACIÓN, UNIVERSIDAD DE TALCA”</t>
        </is>
      </c>
      <c r="C76" s="11" t="n">
        <v>13</v>
      </c>
      <c r="D76" s="13" t="inlineStr">
        <is>
          <t>score 13 &lt; 30</t>
        </is>
      </c>
    </row>
    <row r="77">
      <c r="A77" s="11" t="inlineStr">
        <is>
          <t>1549-70-LR26</t>
        </is>
      </c>
      <c r="B77" s="13" t="inlineStr">
        <is>
          <t>ARRIENDO DE 07 MAQUINAS DE ANESTESIA</t>
        </is>
      </c>
      <c r="C77" s="11" t="n">
        <v>0</v>
      </c>
      <c r="D77" s="13" t="inlineStr">
        <is>
          <t>score 0 &lt; 30</t>
        </is>
      </c>
    </row>
    <row r="78">
      <c r="A78" s="11" t="inlineStr">
        <is>
          <t>1554-55-LR26</t>
        </is>
      </c>
      <c r="B78" s="13" t="inlineStr">
        <is>
          <t>contratación de Servicios de Transporte de pasajeros zona Norte y Sur del país apoyo traslado de pacientes del Hospital Regional Copiapó.</t>
        </is>
      </c>
      <c r="C78" s="11" t="n">
        <v>0</v>
      </c>
      <c r="D78" s="13" t="inlineStr">
        <is>
          <t>score 0 &lt; 30</t>
        </is>
      </c>
    </row>
    <row r="79">
      <c r="A79" s="11" t="inlineStr">
        <is>
          <t>1605-41-LP26</t>
        </is>
      </c>
      <c r="B79" s="13" t="inlineStr">
        <is>
          <t>LP-4872 Servicios de mantención general edificios</t>
        </is>
      </c>
      <c r="C79" s="11" t="n">
        <v>8</v>
      </c>
      <c r="D79" s="13" t="inlineStr">
        <is>
          <t>solo mencion de inmueble, sin servicio inmobiliario</t>
        </is>
      </c>
    </row>
    <row r="80">
      <c r="A80" s="11" t="inlineStr">
        <is>
          <t>1605-45-LP26</t>
        </is>
      </c>
      <c r="B80" s="13" t="inlineStr">
        <is>
          <t>LP-5125 SERVICIO DE DISPENSADORES Y PURIFICADORES DE AGUA PARA LAS OFICINAS DEL SII</t>
        </is>
      </c>
      <c r="C80" s="11" t="n">
        <v>16</v>
      </c>
      <c r="D80" s="13" t="inlineStr">
        <is>
          <t>score 16 &lt; 30</t>
        </is>
      </c>
    </row>
    <row r="81">
      <c r="A81" s="11" t="inlineStr">
        <is>
          <t>162-26-LE26</t>
        </is>
      </c>
      <c r="B81" s="13" t="inlineStr">
        <is>
          <t>Servicio traslado de muestras a los Laboratorios</t>
        </is>
      </c>
      <c r="C81" s="11" t="n">
        <v>0</v>
      </c>
      <c r="D81" s="13" t="inlineStr">
        <is>
          <t>score 0 &lt; 30</t>
        </is>
      </c>
    </row>
    <row r="82">
      <c r="A82" s="11" t="inlineStr">
        <is>
          <t>1624-21-L126</t>
        </is>
      </c>
      <c r="B82" s="13" t="inlineStr">
        <is>
          <t>Convenio de suministros de Oxígeno Médico, Recarga y Arriendo de cilindros para servicios Urgencias y Hospitalizados</t>
        </is>
      </c>
      <c r="C82" s="11" t="n">
        <v>0</v>
      </c>
      <c r="D82" s="13" t="inlineStr">
        <is>
          <t>score 0 &lt; 30</t>
        </is>
      </c>
    </row>
    <row r="83">
      <c r="A83" s="11" t="inlineStr">
        <is>
          <t>1638-81-LE26</t>
        </is>
      </c>
      <c r="B83" s="13" t="inlineStr">
        <is>
          <t>Servicio de producción de eventos Carnaval del desierto departamento de cultura patrimonio e identidad DIDECO sm 001236</t>
        </is>
      </c>
      <c r="C83" s="11" t="n">
        <v>5</v>
      </c>
      <c r="D83" s="13" t="inlineStr">
        <is>
          <t>solo mencion de inmueble, sin servicio inmobiliario</t>
        </is>
      </c>
    </row>
    <row r="84">
      <c r="A84" s="11" t="inlineStr">
        <is>
          <t>1641-219-LR26</t>
        </is>
      </c>
      <c r="B84" s="13" t="inlineStr">
        <is>
          <t>FMM - SERVICIO DE ARRIENDO DE EQUIPOS DE CLIMATIZACIÓN</t>
        </is>
      </c>
      <c r="C84" s="11" t="n">
        <v>0</v>
      </c>
      <c r="D84" s="13" t="inlineStr">
        <is>
          <t>score 0 &lt; 30</t>
        </is>
      </c>
    </row>
    <row r="85">
      <c r="A85" s="11" t="inlineStr">
        <is>
          <t>1655-23-LP26</t>
        </is>
      </c>
      <c r="B85" s="13" t="inlineStr">
        <is>
          <t>ARRIENDO DE CONTEINER PARA ATENCIÓN OFTALMOLÓGICA</t>
        </is>
      </c>
      <c r="C85" s="11" t="n">
        <v>0</v>
      </c>
      <c r="D85" s="13" t="inlineStr">
        <is>
          <t>score 0 &lt; 30</t>
        </is>
      </c>
    </row>
    <row r="86">
      <c r="A86" s="11" t="inlineStr">
        <is>
          <t>1658-147-LE26</t>
        </is>
      </c>
      <c r="B86" s="13" t="inlineStr">
        <is>
          <t>P.136-2026 PROVISIÓN DE NUEVO MONTACARGA EDIFICIO CONSISTORIAL CON MANTENCIÓN POR 12 MESES</t>
        </is>
      </c>
      <c r="C86" s="11" t="n">
        <v>8</v>
      </c>
      <c r="D86" s="13" t="inlineStr">
        <is>
          <t>solo mencion de inmueble, sin servicio inmobiliario</t>
        </is>
      </c>
    </row>
    <row r="87">
      <c r="A87" s="11" t="inlineStr">
        <is>
          <t>1658-189-LP26</t>
        </is>
      </c>
      <c r="B87" s="13" t="inlineStr">
        <is>
          <t>P.230-2026 REPARACIÓN CUBIERTA DE LONA SUPERIOR CASA DE MÁQUINAS MUSEO FERROVIARIO</t>
        </is>
      </c>
      <c r="C87" s="11" t="n">
        <v>5</v>
      </c>
      <c r="D87" s="13" t="inlineStr">
        <is>
          <t>solo mencion de inmueble, sin servicio inmobiliario</t>
        </is>
      </c>
    </row>
    <row r="88">
      <c r="A88" s="11" t="inlineStr">
        <is>
          <t>1671-30-LE26</t>
        </is>
      </c>
      <c r="B88" s="13" t="inlineStr">
        <is>
          <t>Reestructuración Oficina de Partes de la SEREMI de</t>
        </is>
      </c>
      <c r="C88" s="11" t="n">
        <v>10</v>
      </c>
      <c r="D88" s="13" t="inlineStr">
        <is>
          <t>solo mencion de inmueble, sin servicio inmobiliario</t>
        </is>
      </c>
    </row>
    <row r="89">
      <c r="A89" s="11" t="inlineStr">
        <is>
          <t>1696-11-LE26</t>
        </is>
      </c>
      <c r="B89" s="13" t="inlineStr">
        <is>
          <t>Habilitación de sala de audiencia para el Juzgado de Familia de Arica</t>
        </is>
      </c>
      <c r="C89" s="11" t="n">
        <v>0</v>
      </c>
      <c r="D89" s="13" t="inlineStr">
        <is>
          <t>score 0 &lt; 30</t>
        </is>
      </c>
    </row>
    <row r="90">
      <c r="A90" s="11" t="inlineStr">
        <is>
          <t>1697-40-LR26</t>
        </is>
      </c>
      <c r="B90" s="13" t="inlineStr">
        <is>
          <t>CONVENIO TRASLADO DE PERSONAS PARA EL CINJ</t>
        </is>
      </c>
      <c r="C90" s="11" t="n">
        <v>0</v>
      </c>
      <c r="D90" s="13" t="inlineStr">
        <is>
          <t>score 0 &lt; 30</t>
        </is>
      </c>
    </row>
    <row r="91">
      <c r="A91" s="11" t="inlineStr">
        <is>
          <t>1851-26-LE26</t>
        </is>
      </c>
      <c r="B91" s="13" t="inlineStr">
        <is>
          <t>ARRIENDO MAQUINARA PARA COMPACTACION DPVC 2026</t>
        </is>
      </c>
      <c r="C91" s="11" t="n">
        <v>0</v>
      </c>
      <c r="D91" s="13" t="inlineStr">
        <is>
          <t>score 0 &lt; 30</t>
        </is>
      </c>
    </row>
    <row r="92">
      <c r="A92" s="11" t="inlineStr">
        <is>
          <t>1905-2-LE26</t>
        </is>
      </c>
      <c r="B92" s="13" t="inlineStr">
        <is>
          <t>SERVICIO DE HABILITACIÓN DE SUBOFICINA</t>
        </is>
      </c>
      <c r="C92" s="11" t="n">
        <v>4</v>
      </c>
      <c r="D92" s="13" t="inlineStr">
        <is>
          <t>score 4 &lt; 30</t>
        </is>
      </c>
    </row>
    <row r="93">
      <c r="A93" s="11" t="inlineStr">
        <is>
          <t>1947-130-LP26</t>
        </is>
      </c>
      <c r="B93" s="13" t="inlineStr">
        <is>
          <t>CONTRATACIÓN DEL SERVICIO DE SUMINISTRO DE ÓXIDO NÍTRICO Y ARRIENDO DE EQUIPO PARA TERAPIA DE OXIDO NITRICO Y TEST DE REACTIVIDAD DEL HOSPITAL DE NIÑOS DR. ROBERTO DEL RÍO GRS</t>
        </is>
      </c>
      <c r="C93" s="11" t="n">
        <v>0</v>
      </c>
      <c r="D93" s="13" t="inlineStr">
        <is>
          <t>score 0 &lt; 30</t>
        </is>
      </c>
    </row>
    <row r="94">
      <c r="A94" s="11" t="inlineStr">
        <is>
          <t>1949-1-LP26</t>
        </is>
      </c>
      <c r="B94" s="13" t="inlineStr">
        <is>
          <t>SERVICIO OBRAS MENORES INMUEBLES VALPARAÍSO.</t>
        </is>
      </c>
      <c r="C94" s="11" t="n">
        <v>14</v>
      </c>
      <c r="D94" s="13" t="inlineStr">
        <is>
          <t>solo mencion de inmueble, sin servicio inmobiliario</t>
        </is>
      </c>
    </row>
    <row r="95">
      <c r="A95" s="11" t="inlineStr">
        <is>
          <t>1978-100-L126</t>
        </is>
      </c>
      <c r="B95" s="13" t="inlineStr">
        <is>
          <t>REPOSICIÓN VENTANA, PUERTA Y TRASLADO DE HIGROMETRO SSMAULE</t>
        </is>
      </c>
      <c r="C95" s="11" t="n">
        <v>9</v>
      </c>
      <c r="D95" s="13" t="inlineStr">
        <is>
          <t>score 9 &lt; 30</t>
        </is>
      </c>
    </row>
    <row r="96">
      <c r="A96" s="11" t="inlineStr">
        <is>
          <t>1979-182-LE26</t>
        </is>
      </c>
      <c r="B96" s="13" t="inlineStr">
        <is>
          <t>176.26 “ARRIENDO DE EQUIPOS PARA CIRUGÍA PARA NODO COSTERO: HOSPITAL NVA IMPERIAL.”</t>
        </is>
      </c>
      <c r="C96" s="11" t="n">
        <v>0</v>
      </c>
      <c r="D96" s="13" t="inlineStr">
        <is>
          <t>score 0 &lt; 30</t>
        </is>
      </c>
    </row>
    <row r="97">
      <c r="A97" s="11" t="inlineStr">
        <is>
          <t>2078-39-LE26</t>
        </is>
      </c>
      <c r="B97" s="13" t="inlineStr">
        <is>
          <t>SERVICIOS DE TRANSPORTE PARA TRASLADO DE FUNCIONARIOS DE LA UNIDAD DE ZOONOSIS DE CONCEPCIÓN Y DE LA DELEGACIÓN BIOBIO DE LA SEREMI DE SALUD REGIÓN DEL BIOBIO SC283 y SC377</t>
        </is>
      </c>
      <c r="C97" s="11" t="n">
        <v>0</v>
      </c>
      <c r="D97" s="13" t="inlineStr">
        <is>
          <t>score 0 &lt; 30</t>
        </is>
      </c>
    </row>
    <row r="98">
      <c r="A98" s="11" t="inlineStr">
        <is>
          <t>2080-261-LP26</t>
        </is>
      </c>
      <c r="B98" s="13" t="inlineStr">
        <is>
          <t>SUMINISTRO GASES EN SANGRE CON EQUIPO EN COMODATO</t>
        </is>
      </c>
      <c r="C98" s="11" t="n">
        <v>0</v>
      </c>
      <c r="D98" s="13" t="inlineStr">
        <is>
          <t>score 0 &lt; 30</t>
        </is>
      </c>
    </row>
    <row r="99">
      <c r="A99" s="11" t="inlineStr">
        <is>
          <t>2098-124-LE26</t>
        </is>
      </c>
      <c r="B99" s="13" t="inlineStr">
        <is>
          <t>ARRIENDO DE EQUIPO TERMOCICLADOR MULTINACAL PARA EL SERVICIO DE LABORATORIO CLINICO HRV</t>
        </is>
      </c>
      <c r="C99" s="11" t="n">
        <v>14</v>
      </c>
      <c r="D99" s="13" t="inlineStr">
        <is>
          <t>score 14 &lt; 30</t>
        </is>
      </c>
    </row>
    <row r="100">
      <c r="A100" s="11" t="inlineStr">
        <is>
          <t>2098-127-LE26</t>
        </is>
      </c>
      <c r="B100" s="13" t="inlineStr">
        <is>
          <t>CONVENIO DE TIRAS REACTIVAS PARA HEMOGLOBINA CON EQUIPAMIENTO EN COMODATO</t>
        </is>
      </c>
      <c r="C100" s="11" t="n">
        <v>10</v>
      </c>
      <c r="D100" s="13" t="inlineStr">
        <is>
          <t>score 10 &lt; 30</t>
        </is>
      </c>
    </row>
    <row r="101">
      <c r="A101" s="11" t="inlineStr">
        <is>
          <t>2098-133-LP26</t>
        </is>
      </c>
      <c r="B101" s="13" t="inlineStr">
        <is>
          <t>CONVENIO SUMINISTRO PAQUETES DE PARTO Y PAQUETES DE CIRUGÍA UNIVERSAL PARA REPOSICIÓN BODEGA FOLIO PAC 156 – PARA UN PERIODO DE 18 MESES</t>
        </is>
      </c>
      <c r="C101" s="11" t="n">
        <v>7</v>
      </c>
      <c r="D101" s="13" t="inlineStr">
        <is>
          <t>solo mencion de inmueble, sin servicio inmobiliario</t>
        </is>
      </c>
    </row>
    <row r="102">
      <c r="A102" s="11" t="inlineStr">
        <is>
          <t>2098-134-LP26</t>
        </is>
      </c>
      <c r="B102" s="13" t="inlineStr">
        <is>
          <t>CONVENIO SUMINISTRO CLORHEXIDINAS ALCOHOL AL 70% POVIDONAS Y VASELINA LÍQUIDA PARA REPOSICIÓN BODEGA FOLIO PAC 159 – PARA UN PERIODO DE 24 MESES</t>
        </is>
      </c>
      <c r="C102" s="11" t="n">
        <v>7</v>
      </c>
      <c r="D102" s="13" t="inlineStr">
        <is>
          <t>solo mencion de inmueble, sin servicio inmobiliario</t>
        </is>
      </c>
    </row>
    <row r="103">
      <c r="A103" s="11" t="inlineStr">
        <is>
          <t>2107-130-LE26</t>
        </is>
      </c>
      <c r="B103" s="13" t="inlineStr">
        <is>
          <t>ARRIENDO DOS VPS PARA HOSPITAL DE SANTA CRUZ</t>
        </is>
      </c>
      <c r="C103" s="11" t="n">
        <v>0</v>
      </c>
      <c r="D103" s="13" t="inlineStr">
        <is>
          <t>score 0 &lt; 30</t>
        </is>
      </c>
    </row>
    <row r="104">
      <c r="A104" s="11" t="inlineStr">
        <is>
          <t>2107-136-LE26</t>
        </is>
      </c>
      <c r="B104" s="13" t="inlineStr">
        <is>
          <t>SERVICIO DE TRASLADO DE FUNCIONARIOS PARA HOSPITAL DE SANTA CRUZ</t>
        </is>
      </c>
      <c r="C104" s="11" t="n">
        <v>0</v>
      </c>
      <c r="D104" s="13" t="inlineStr">
        <is>
          <t>score 0 &lt; 30</t>
        </is>
      </c>
    </row>
    <row r="105">
      <c r="A105" s="11" t="inlineStr">
        <is>
          <t>2109-10-LP26</t>
        </is>
      </c>
      <c r="B105" s="13" t="inlineStr">
        <is>
          <t>CONTRATACIÓN DEL SERVICIO DE FOTOCOPIADO IMPRESIÓN Y ESCANEO CON EQUIPOS EN COMODATO</t>
        </is>
      </c>
      <c r="C105" s="11" t="n">
        <v>0</v>
      </c>
      <c r="D105" s="13" t="inlineStr">
        <is>
          <t>score 0 &lt; 30</t>
        </is>
      </c>
    </row>
    <row r="106">
      <c r="A106" s="11" t="inlineStr">
        <is>
          <t>2126-128-LE26</t>
        </is>
      </c>
      <c r="B106" s="13" t="inlineStr">
        <is>
          <t>SERVICIO DE HABILITACIÓN DE DISPOSITIVO EXTERNO HOSPITAL DIA DEL HOSPITAL SAN PABLO DE COQUIMBO</t>
        </is>
      </c>
      <c r="C106" s="11" t="n">
        <v>0</v>
      </c>
      <c r="D106" s="13" t="inlineStr">
        <is>
          <t>score 0 &lt; 30</t>
        </is>
      </c>
    </row>
    <row r="107">
      <c r="A107" s="11" t="inlineStr">
        <is>
          <t>2173-27-LE26</t>
        </is>
      </c>
      <c r="B107" s="13" t="inlineStr">
        <is>
          <t>SERVICIO PUNTUAL DE MANTENCION PREVENTIVA Y CORRECTIVA A EQUIPOS Y SISTEMAS DE CLIMATIZACION EN EDIFICIOS DE LA JURISDICCION ZONAL SANTIAGO</t>
        </is>
      </c>
      <c r="C107" s="11" t="n">
        <v>8</v>
      </c>
      <c r="D107" s="13" t="inlineStr">
        <is>
          <t>solo mencion de inmueble, sin servicio inmobiliario</t>
        </is>
      </c>
    </row>
    <row r="108">
      <c r="A108" s="11" t="inlineStr">
        <is>
          <t>2258-133-LR26</t>
        </is>
      </c>
      <c r="B108" s="13" t="inlineStr">
        <is>
          <t>SERVICIOS DE AEROAMBULANCIA PARA EL TRASLADO DE PACIENTES CRÍTICOS BENEFICIARIOS DEL HOSPITAL REGIONAL DE ANTOFAGASTA</t>
        </is>
      </c>
      <c r="C108" s="11" t="n">
        <v>0</v>
      </c>
      <c r="D108" s="13" t="inlineStr">
        <is>
          <t>score 0 &lt; 30</t>
        </is>
      </c>
    </row>
    <row r="109">
      <c r="A109" s="11" t="inlineStr">
        <is>
          <t>2258-37-LR26</t>
        </is>
      </c>
      <c r="B109" s="13" t="inlineStr">
        <is>
          <t>TEST REPORTADO QUIMICA INMUNOLOGIA SEROLOGIA HORMONAS HEMATOLOGIA GASOMETRIA EN EQUIPOS EN COMODATO</t>
        </is>
      </c>
      <c r="C109" s="11" t="n">
        <v>0</v>
      </c>
      <c r="D109" s="13" t="inlineStr">
        <is>
          <t>score 0 &lt; 30</t>
        </is>
      </c>
    </row>
    <row r="110">
      <c r="A110" s="11" t="inlineStr">
        <is>
          <t>2258-72-LE26</t>
        </is>
      </c>
      <c r="B110" s="13" t="inlineStr">
        <is>
          <t>SERVICIO DE RETIRO TRASLADO Y DISPOSICIÓN FINAL DE RESIDUOS SÓLIDOS ASIMILABLES A DOMICILIARIOS PARA HOSPITAL REGIONAL DE ANTOFAGASTA</t>
        </is>
      </c>
      <c r="C110" s="11" t="n">
        <v>0</v>
      </c>
      <c r="D110" s="13" t="inlineStr">
        <is>
          <t>score 0 &lt; 30</t>
        </is>
      </c>
    </row>
    <row r="111">
      <c r="A111" s="11" t="inlineStr">
        <is>
          <t>2271-65-LE26</t>
        </is>
      </c>
      <c r="B111" s="13" t="inlineStr">
        <is>
          <t>Instalación y habilitación del Sistema de Ayudas Visuales  Faro del Aeródromo Santo Domingo de acuerdo a bases técnicas adjuntas</t>
        </is>
      </c>
      <c r="C111" s="11" t="n">
        <v>0</v>
      </c>
      <c r="D111" s="13" t="inlineStr">
        <is>
          <t>score 0 &lt; 30</t>
        </is>
      </c>
    </row>
    <row r="112">
      <c r="A112" s="11" t="inlineStr">
        <is>
          <t>2273-55-LE26</t>
        </is>
      </c>
      <c r="B112" s="13" t="inlineStr">
        <is>
          <t>ARRIENDO DE EQUIPAMIENTO PARA DESARROLLO DE EVENTOS MUNICIPALES LA PINTANA</t>
        </is>
      </c>
      <c r="C112" s="11" t="n">
        <v>0</v>
      </c>
      <c r="D112" s="13" t="inlineStr">
        <is>
          <t>score 0 &lt; 30</t>
        </is>
      </c>
    </row>
    <row r="113">
      <c r="A113" s="11" t="inlineStr">
        <is>
          <t>2275-29-LE26</t>
        </is>
      </c>
      <c r="B113" s="13" t="inlineStr">
        <is>
          <t>CONSERVACIÓN Y REMODELACIÓN DEPARTAMENTOS DE USO VACACIONAL BIENESTAR MUNICIPAL</t>
        </is>
      </c>
      <c r="C113" s="11" t="n">
        <v>5</v>
      </c>
      <c r="D113" s="13" t="inlineStr">
        <is>
          <t>solo mencion de inmueble, sin servicio inmobiliario</t>
        </is>
      </c>
    </row>
    <row r="114">
      <c r="A114" s="11" t="inlineStr">
        <is>
          <t>2282-96-LE26</t>
        </is>
      </c>
      <c r="B114" s="13" t="inlineStr">
        <is>
          <t>Habilitación Memorial Victor Hugo Carreño Valdivi</t>
        </is>
      </c>
      <c r="C114" s="11" t="n">
        <v>0</v>
      </c>
      <c r="D114" s="13" t="inlineStr">
        <is>
          <t>score 0 &lt; 30</t>
        </is>
      </c>
    </row>
    <row r="115">
      <c r="A115" s="11" t="inlineStr">
        <is>
          <t>2282-97-LR26</t>
        </is>
      </c>
      <c r="B115" s="13" t="inlineStr">
        <is>
          <t>PP 192-2025 ARRIENDO DE SISTEMA PARA LA GESTIÓN DE</t>
        </is>
      </c>
      <c r="C115" s="11" t="n">
        <v>0</v>
      </c>
      <c r="D115" s="13" t="inlineStr">
        <is>
          <t>score 0 &lt; 30</t>
        </is>
      </c>
    </row>
    <row r="116">
      <c r="A116" s="11" t="inlineStr">
        <is>
          <t>2287-25-LP26</t>
        </is>
      </c>
      <c r="B116" s="13" t="inlineStr">
        <is>
          <t>HABILITACIÓN PLAZAS 1 Y 3 PASAJE 9 BARRIO CAUPOLI</t>
        </is>
      </c>
      <c r="C116" s="11" t="n">
        <v>0</v>
      </c>
      <c r="D116" s="13" t="inlineStr">
        <is>
          <t>score 0 &lt; 30</t>
        </is>
      </c>
    </row>
    <row r="117">
      <c r="A117" s="11" t="inlineStr">
        <is>
          <t>2308-72-LE26</t>
        </is>
      </c>
      <c r="B117" s="13" t="inlineStr">
        <is>
          <t>ADQ. HABILITACIÓN Y PUESTA EN MARCHA BÁSCULA</t>
        </is>
      </c>
      <c r="C117" s="11" t="n">
        <v>8</v>
      </c>
      <c r="D117" s="13" t="inlineStr">
        <is>
          <t>score 8 &lt; 30</t>
        </is>
      </c>
    </row>
    <row r="118">
      <c r="A118" s="11" t="inlineStr">
        <is>
          <t>2320-26-LE26</t>
        </is>
      </c>
      <c r="B118" s="13" t="inlineStr">
        <is>
          <t>SERVICIO ARRIENDO  SALÓN Y OTROS PARA JORNADA APS</t>
        </is>
      </c>
      <c r="C118" s="11" t="n">
        <v>0</v>
      </c>
      <c r="D118" s="13" t="inlineStr">
        <is>
          <t>score 0 &lt; 30</t>
        </is>
      </c>
    </row>
    <row r="119">
      <c r="A119" s="11" t="inlineStr">
        <is>
          <t>2322-72-LE26</t>
        </is>
      </c>
      <c r="B119" s="13" t="inlineStr">
        <is>
          <t>Regularización del Activo Fijo  Inventario Munici</t>
        </is>
      </c>
      <c r="C119" s="11" t="n">
        <v>0</v>
      </c>
      <c r="D119" s="13" t="inlineStr">
        <is>
          <t>score 0 &lt; 30</t>
        </is>
      </c>
    </row>
    <row r="120">
      <c r="A120" s="11" t="inlineStr">
        <is>
          <t>2324-107-L126</t>
        </is>
      </c>
      <c r="B120" s="13" t="inlineStr">
        <is>
          <t>LICITACIÓN PÚBLICA N° 1032026 “SERVICIO DE ARRIENDO DE AMPLIFICACIÓN Y BAÑOS QUÍMICOS PARA ACTIVIDADES DEL MES DE LA PATRIA 2026 - DIRECCIÓN DE DESARROLLO COMUNITARIO - MUNICIPALIDAD DE PUERTO MONTT”</t>
        </is>
      </c>
      <c r="C120" s="11" t="n">
        <v>0</v>
      </c>
      <c r="D120" s="13" t="inlineStr">
        <is>
          <t>score 0 &lt; 30</t>
        </is>
      </c>
    </row>
    <row r="121">
      <c r="A121" s="11" t="inlineStr">
        <is>
          <t>2332-101-L126</t>
        </is>
      </c>
      <c r="B121" s="13" t="inlineStr">
        <is>
          <t>ADQUISICIÓN DE HERRAMIENTAS PARA UNIDAD DE OPERACIONES DEL DEPARTAMENTO DE SALUD MUNICIPAL</t>
        </is>
      </c>
      <c r="C121" s="11" t="n">
        <v>5</v>
      </c>
      <c r="D121" s="13" t="inlineStr">
        <is>
          <t>solo mencion de inmueble, sin servicio inmobiliario</t>
        </is>
      </c>
    </row>
    <row r="122">
      <c r="A122" s="11" t="inlineStr">
        <is>
          <t>2332-102-L126</t>
        </is>
      </c>
      <c r="B122" s="13" t="inlineStr">
        <is>
          <t>MALLA MOSQUITERA E INSTALACIÓN DE ACRÍLICOS PARA SEGREGACIÓN ÁREA SUCIA SAPU Y CESFAM PADRE HURTADO Y CECOSF PUERTA SUR DEL DEPARTAMENTO DE SALUD DE PUERTO MONTT</t>
        </is>
      </c>
      <c r="C122" s="11" t="n">
        <v>5</v>
      </c>
      <c r="D122" s="13" t="inlineStr">
        <is>
          <t>solo mencion de inmueble, sin servicio inmobiliario</t>
        </is>
      </c>
    </row>
    <row r="123">
      <c r="A123" s="11" t="inlineStr">
        <is>
          <t>2366-54-LE26</t>
        </is>
      </c>
      <c r="B123" s="13" t="inlineStr">
        <is>
          <t>HABILITACIÓN SAPU CORTO EN CESFAM RVZ</t>
        </is>
      </c>
      <c r="C123" s="11" t="n">
        <v>0</v>
      </c>
      <c r="D123" s="13" t="inlineStr">
        <is>
          <t>score 0 &lt; 30</t>
        </is>
      </c>
    </row>
    <row r="124">
      <c r="A124" s="11" t="inlineStr">
        <is>
          <t>2369-64-LP26</t>
        </is>
      </c>
      <c r="B124" s="13" t="inlineStr">
        <is>
          <t>PP 69 Implementación bodegas resguardo de fichas</t>
        </is>
      </c>
      <c r="C124" s="11" t="n">
        <v>7</v>
      </c>
      <c r="D124" s="13" t="inlineStr">
        <is>
          <t>solo mencion de inmueble, sin servicio inmobiliario</t>
        </is>
      </c>
    </row>
    <row r="125">
      <c r="A125" s="11" t="inlineStr">
        <is>
          <t>2369-69-LP26</t>
        </is>
      </c>
      <c r="B125" s="13" t="inlineStr">
        <is>
          <t>PP 44 Construcc. sede social Villa Santa Maria</t>
        </is>
      </c>
      <c r="C125" s="11" t="n">
        <v>8</v>
      </c>
      <c r="D125" s="13" t="inlineStr">
        <is>
          <t>solo mencion de inmueble, sin servicio inmobiliario</t>
        </is>
      </c>
    </row>
    <row r="126">
      <c r="A126" s="11" t="inlineStr">
        <is>
          <t>2369-72-LP26</t>
        </is>
      </c>
      <c r="B126" s="13" t="inlineStr">
        <is>
          <t>PP 45 Construcc. sede social Chile III</t>
        </is>
      </c>
      <c r="C126" s="11" t="n">
        <v>8</v>
      </c>
      <c r="D126" s="13" t="inlineStr">
        <is>
          <t>solo mencion de inmueble, sin servicio inmobiliario</t>
        </is>
      </c>
    </row>
    <row r="127">
      <c r="A127" s="11" t="inlineStr">
        <is>
          <t>2402-72-CO26</t>
        </is>
      </c>
      <c r="B127" s="13" t="inlineStr">
        <is>
          <t>SERV.DE REP. Y REHABILITACION DE PILETA ORNAMENTAL</t>
        </is>
      </c>
      <c r="C127" s="11" t="n">
        <v>0</v>
      </c>
      <c r="D127" s="13" t="inlineStr">
        <is>
          <t>score 0 &lt; 30</t>
        </is>
      </c>
    </row>
    <row r="128">
      <c r="A128" s="11" t="inlineStr">
        <is>
          <t>2402-74-L126</t>
        </is>
      </c>
      <c r="B128" s="13" t="inlineStr">
        <is>
          <t>SERVICIO DE TRASLADO A PROFESIONALES</t>
        </is>
      </c>
      <c r="C128" s="11" t="n">
        <v>8</v>
      </c>
      <c r="D128" s="13" t="inlineStr">
        <is>
          <t>score 8 &lt; 30</t>
        </is>
      </c>
    </row>
    <row r="129">
      <c r="A129" s="11" t="inlineStr">
        <is>
          <t>2402-75-LE26</t>
        </is>
      </c>
      <c r="B129" s="13" t="inlineStr">
        <is>
          <t>ARRIENDO E INST. TEMPORAL CAMARAS DE SEGURIDAD</t>
        </is>
      </c>
      <c r="C129" s="11" t="n">
        <v>0</v>
      </c>
      <c r="D129" s="13" t="inlineStr">
        <is>
          <t>score 0 &lt; 30</t>
        </is>
      </c>
    </row>
    <row r="130">
      <c r="A130" s="11" t="inlineStr">
        <is>
          <t>2402-76-LE26</t>
        </is>
      </c>
      <c r="B130" s="13" t="inlineStr">
        <is>
          <t>SEGURIDAD RECINTO CELEBRACION FIESTAS PATRIAS 2026</t>
        </is>
      </c>
      <c r="C130" s="11" t="n">
        <v>5</v>
      </c>
      <c r="D130" s="13" t="inlineStr">
        <is>
          <t>solo mencion de inmueble, sin servicio inmobiliario</t>
        </is>
      </c>
    </row>
    <row r="131">
      <c r="A131" s="11" t="inlineStr">
        <is>
          <t>2405-108-LR26</t>
        </is>
      </c>
      <c r="B131" s="13" t="inlineStr">
        <is>
          <t>HABILITACION Y URBANIZACION LOTEO ALTOS</t>
        </is>
      </c>
      <c r="C131" s="11" t="n">
        <v>6</v>
      </c>
      <c r="D131" s="13" t="inlineStr">
        <is>
          <t>score 6 &lt; 30</t>
        </is>
      </c>
    </row>
    <row r="132">
      <c r="A132" s="11" t="inlineStr">
        <is>
          <t>2408-160-LP26</t>
        </is>
      </c>
      <c r="B132" s="13" t="inlineStr">
        <is>
          <t>EQUIPOS INFORMÁTICOS PARA DEPENDENCIAS MUNICIPALES</t>
        </is>
      </c>
      <c r="C132" s="11" t="n">
        <v>8</v>
      </c>
      <c r="D132" s="13" t="inlineStr">
        <is>
          <t>solo mencion de inmueble, sin servicio inmobiliario</t>
        </is>
      </c>
    </row>
    <row r="133">
      <c r="A133" s="11" t="inlineStr">
        <is>
          <t>2408-210-L126</t>
        </is>
      </c>
      <c r="B133" s="13" t="inlineStr">
        <is>
          <t>ADQUISICIÓN DE ARTÍCULOS VARIOS PARA CABAÑAS RECINTO CHACAY.</t>
        </is>
      </c>
      <c r="C133" s="11" t="n">
        <v>5</v>
      </c>
      <c r="D133" s="13" t="inlineStr">
        <is>
          <t>solo mencion de inmueble, sin servicio inmobiliario</t>
        </is>
      </c>
    </row>
    <row r="134">
      <c r="A134" s="11" t="inlineStr">
        <is>
          <t>2409-86-L126</t>
        </is>
      </c>
      <c r="B134" s="13" t="inlineStr">
        <is>
          <t>SERVICIO DE TRASLADOS INTERNOS PARA ESCUELA D-934</t>
        </is>
      </c>
      <c r="C134" s="11" t="n">
        <v>0</v>
      </c>
      <c r="D134" s="13" t="inlineStr">
        <is>
          <t>score 0 &lt; 30</t>
        </is>
      </c>
    </row>
    <row r="135">
      <c r="A135" s="11" t="inlineStr">
        <is>
          <t>2409-91-L126</t>
        </is>
      </c>
      <c r="B135" s="13" t="inlineStr">
        <is>
          <t>SERVICIO TRASLADO ALUMNOS TALLER  EXTRAESCOLAR Y JORNADAS REFLEXION, ESCUELA D-870</t>
        </is>
      </c>
      <c r="C135" s="11" t="n">
        <v>0</v>
      </c>
      <c r="D135" s="13" t="inlineStr">
        <is>
          <t>score 0 &lt; 30</t>
        </is>
      </c>
    </row>
    <row r="136">
      <c r="A136" s="11" t="inlineStr">
        <is>
          <t>2410-35-LP26</t>
        </is>
      </c>
      <c r="B136" s="13" t="inlineStr">
        <is>
          <t>Adquisición de artículos eléctricos para mantención de inmuebles</t>
        </is>
      </c>
      <c r="C136" s="11" t="n">
        <v>14</v>
      </c>
      <c r="D136" s="13" t="inlineStr">
        <is>
          <t>solo mencion de inmueble, sin servicio inmobiliario</t>
        </is>
      </c>
    </row>
    <row r="137">
      <c r="A137" s="11" t="inlineStr">
        <is>
          <t>2410-83-LE26</t>
        </is>
      </c>
      <c r="B137" s="13" t="inlineStr">
        <is>
          <t>Adquisición de artículos hidráulicos para mantención de inmuebles DMI</t>
        </is>
      </c>
      <c r="C137" s="11" t="n">
        <v>14</v>
      </c>
      <c r="D137" s="13" t="inlineStr">
        <is>
          <t>solo mencion de inmueble, sin servicio inmobiliario</t>
        </is>
      </c>
    </row>
    <row r="138">
      <c r="A138" s="11" t="inlineStr">
        <is>
          <t>2410-84-LE26</t>
        </is>
      </c>
      <c r="B138" s="13" t="inlineStr">
        <is>
          <t>ADQUISICIÓN DE ARTÍCULOS PARA SALA  DE REHABILITACIÓN</t>
        </is>
      </c>
      <c r="C138" s="11" t="n">
        <v>0</v>
      </c>
      <c r="D138" s="13" t="inlineStr">
        <is>
          <t>score 0 &lt; 30</t>
        </is>
      </c>
    </row>
    <row r="139">
      <c r="A139" s="11" t="inlineStr">
        <is>
          <t>2416-22-LE26</t>
        </is>
      </c>
      <c r="B139" s="13" t="inlineStr">
        <is>
          <t>SERVICIO DE PRODUCCIÓN DE EVENTOS PARA ACTIVIDADES DE LA OFICINA DE PERSONAS MAYORES 2026</t>
        </is>
      </c>
      <c r="C139" s="11" t="n">
        <v>10</v>
      </c>
      <c r="D139" s="13" t="inlineStr">
        <is>
          <t>solo mencion de inmueble, sin servicio inmobiliario</t>
        </is>
      </c>
    </row>
    <row r="140">
      <c r="A140" s="11" t="inlineStr">
        <is>
          <t>2426-41-LE26</t>
        </is>
      </c>
      <c r="B140" s="13" t="inlineStr">
        <is>
          <t>Obras de reforzamiento edificio Nasro Maluk</t>
        </is>
      </c>
      <c r="C140" s="11" t="n">
        <v>8</v>
      </c>
      <c r="D140" s="13" t="inlineStr">
        <is>
          <t>solo mencion de inmueble, sin servicio inmobiliario</t>
        </is>
      </c>
    </row>
    <row r="141">
      <c r="A141" s="11" t="inlineStr">
        <is>
          <t>2430-69-LP26</t>
        </is>
      </c>
      <c r="B141" s="13" t="inlineStr">
        <is>
          <t>HABILITACIÓN SEDE SOCIAL COMITÉ DE ADELANTO Y DESARROLLO UNIÓN CIRCUNVALACIÓN NORTE CÓDIGO BIP N°40074315-0</t>
        </is>
      </c>
      <c r="C141" s="11" t="n">
        <v>14</v>
      </c>
      <c r="D141" s="13" t="inlineStr">
        <is>
          <t>score 14 &lt; 30</t>
        </is>
      </c>
    </row>
    <row r="142">
      <c r="A142" s="11" t="inlineStr">
        <is>
          <t>2430-71-LP26</t>
        </is>
      </c>
      <c r="B142" s="13" t="inlineStr">
        <is>
          <t>CONSERVACIÓN SEDE SOCIAL VILLA EL SALAR ANTOFAGASTA. CÓDIGO BIP N°40058997-0</t>
        </is>
      </c>
      <c r="C142" s="11" t="n">
        <v>8</v>
      </c>
      <c r="D142" s="13" t="inlineStr">
        <is>
          <t>solo mencion de inmueble, sin servicio inmobiliario</t>
        </is>
      </c>
    </row>
    <row r="143">
      <c r="A143" s="11" t="inlineStr">
        <is>
          <t>2445-110-LE26</t>
        </is>
      </c>
      <c r="B143" s="13" t="inlineStr">
        <is>
          <t>HABILITACION DE CASETAS E INST ESTANQUES DE AGUA</t>
        </is>
      </c>
      <c r="C143" s="11" t="n">
        <v>6</v>
      </c>
      <c r="D143" s="13" t="inlineStr">
        <is>
          <t>score 6 &lt; 30</t>
        </is>
      </c>
    </row>
    <row r="144">
      <c r="A144" s="11" t="inlineStr">
        <is>
          <t>2446-243-LP26</t>
        </is>
      </c>
      <c r="B144" s="13" t="inlineStr">
        <is>
          <t>CONSULTORÍA DISEÑO MUSEO COQUIMBO CASA GALLEGUILLO</t>
        </is>
      </c>
      <c r="C144" s="11" t="n">
        <v>5</v>
      </c>
      <c r="D144" s="13" t="inlineStr">
        <is>
          <t>solo mencion de inmueble, sin servicio inmobiliario</t>
        </is>
      </c>
    </row>
    <row r="145">
      <c r="A145" s="11" t="inlineStr">
        <is>
          <t>2452-19-L126</t>
        </is>
      </c>
      <c r="B145" s="13" t="inlineStr">
        <is>
          <t>MEJORAMIENTO DE INFRAESTRUCTURA EN INMUEBLE</t>
        </is>
      </c>
      <c r="C145" s="11" t="n">
        <v>14</v>
      </c>
      <c r="D145" s="13" t="inlineStr">
        <is>
          <t>solo mencion de inmueble, sin servicio inmobiliario</t>
        </is>
      </c>
    </row>
    <row r="146">
      <c r="A146" s="11" t="inlineStr">
        <is>
          <t>2455-46-LP26</t>
        </is>
      </c>
      <c r="B146" s="13" t="inlineStr">
        <is>
          <t>HABILITACIÓN SISTEMA DE TELEVIGILANCIA</t>
        </is>
      </c>
      <c r="C146" s="11" t="n">
        <v>11</v>
      </c>
      <c r="D146" s="13" t="inlineStr">
        <is>
          <t>score 11 &lt; 30</t>
        </is>
      </c>
    </row>
    <row r="147">
      <c r="A147" s="11" t="inlineStr">
        <is>
          <t>2460-99-LE26</t>
        </is>
      </c>
      <c r="B147" s="13" t="inlineStr">
        <is>
          <t xml:space="preserve">Mejoras varias para el Departamento de Rentas </t>
        </is>
      </c>
      <c r="C147" s="11" t="n">
        <v>5</v>
      </c>
      <c r="D147" s="13" t="inlineStr">
        <is>
          <t>solo mencion de inmueble, sin servicio inmobiliario</t>
        </is>
      </c>
    </row>
    <row r="148">
      <c r="A148" s="11" t="inlineStr">
        <is>
          <t>2483-231-LP26</t>
        </is>
      </c>
      <c r="B148" s="13" t="inlineStr">
        <is>
          <t>SERVICIO DE MONITOREO DE ALARMAS CON ACTUALIZACIÓN MANTENIMIENTO Y REPARACIÓN PARA DEPENDENCIAS MUNICIPALES</t>
        </is>
      </c>
      <c r="C148" s="11" t="n">
        <v>8</v>
      </c>
      <c r="D148" s="13" t="inlineStr">
        <is>
          <t>solo mencion de inmueble, sin servicio inmobiliario</t>
        </is>
      </c>
    </row>
    <row r="149">
      <c r="A149" s="11" t="inlineStr">
        <is>
          <t>2494-79-LP26</t>
        </is>
      </c>
      <c r="B149" s="13" t="inlineStr">
        <is>
          <t>MEJORAMIENTO OFICINA LOCAL DE LA NIÑEZ COYHAIQUE</t>
        </is>
      </c>
      <c r="C149" s="11" t="n">
        <v>13</v>
      </c>
      <c r="D149" s="13" t="inlineStr">
        <is>
          <t>score 13 &lt; 30</t>
        </is>
      </c>
    </row>
    <row r="150">
      <c r="A150" s="11" t="inlineStr">
        <is>
          <t>2546-49-LP26</t>
        </is>
      </c>
      <c r="B150" s="13" t="inlineStr">
        <is>
          <t>PROP PUBL N69 CONSTRUCCION SEDE SOCIAL V. PULMAHUE</t>
        </is>
      </c>
      <c r="C150" s="11" t="n">
        <v>8</v>
      </c>
      <c r="D150" s="13" t="inlineStr">
        <is>
          <t>solo mencion de inmueble, sin servicio inmobiliario</t>
        </is>
      </c>
    </row>
    <row r="151">
      <c r="A151" s="11" t="inlineStr">
        <is>
          <t>2548-71-LE26</t>
        </is>
      </c>
      <c r="B151" s="13" t="inlineStr">
        <is>
          <t>SERVICIO MOVILIZACIÓN TRASLADO PROGRAMA MASAMA</t>
        </is>
      </c>
      <c r="C151" s="11" t="n">
        <v>6</v>
      </c>
      <c r="D151" s="13" t="inlineStr">
        <is>
          <t>score 6 &lt; 30</t>
        </is>
      </c>
    </row>
    <row r="152">
      <c r="A152" s="11" t="inlineStr">
        <is>
          <t>2548-73-LE26</t>
        </is>
      </c>
      <c r="B152" s="13" t="inlineStr">
        <is>
          <t>FÁRMACOS PROGRAMA FOFAR - DSM PADRE LAS CASAS</t>
        </is>
      </c>
      <c r="C152" s="11" t="n">
        <v>5</v>
      </c>
      <c r="D152" s="13" t="inlineStr">
        <is>
          <t>solo mencion de inmueble, sin servicio inmobiliario</t>
        </is>
      </c>
    </row>
    <row r="153">
      <c r="A153" s="11" t="inlineStr">
        <is>
          <t>2555-10-LP26</t>
        </is>
      </c>
      <c r="B153" s="13" t="inlineStr">
        <is>
          <t>SERVICIO TRASLADO DE PERSONAL DE BRIGADAS SIC 629</t>
        </is>
      </c>
      <c r="C153" s="11" t="n">
        <v>0</v>
      </c>
      <c r="D153" s="13" t="inlineStr">
        <is>
          <t>score 0 &lt; 30</t>
        </is>
      </c>
    </row>
    <row r="154">
      <c r="A154" s="11" t="inlineStr">
        <is>
          <t>2565-14-LP26</t>
        </is>
      </c>
      <c r="B154" s="13" t="inlineStr">
        <is>
          <t>ADQUISICIÓN DE REACTIVOS CON EQUIPOS EN COMODATO</t>
        </is>
      </c>
      <c r="C154" s="11" t="n">
        <v>0</v>
      </c>
      <c r="D154" s="13" t="inlineStr">
        <is>
          <t>score 0 &lt; 30</t>
        </is>
      </c>
    </row>
    <row r="155">
      <c r="A155" s="11" t="inlineStr">
        <is>
          <t>2565-15-LR26</t>
        </is>
      </c>
      <c r="B155" s="13" t="inlineStr">
        <is>
          <t>ADQUISICIÓN DE REACTIVOS DE QUIMICA Y HORMONAS CON EQUIPO EN COMODATO PARA LABORATORIO DEL CESFAM DE CHEPICA</t>
        </is>
      </c>
      <c r="C155" s="11" t="n">
        <v>0</v>
      </c>
      <c r="D155" s="13" t="inlineStr">
        <is>
          <t>score 0 &lt; 30</t>
        </is>
      </c>
    </row>
    <row r="156">
      <c r="A156" s="11" t="inlineStr">
        <is>
          <t>2581-37-LP26</t>
        </is>
      </c>
      <c r="B156" s="13" t="inlineStr">
        <is>
          <t>MEJORAMIENTO EDIFICIO SEGURIDAD PUBLICA COMUNA CONCHALÍ</t>
        </is>
      </c>
      <c r="C156" s="11" t="n">
        <v>8</v>
      </c>
      <c r="D156" s="13" t="inlineStr">
        <is>
          <t>solo mencion de inmueble, sin servicio inmobiliario</t>
        </is>
      </c>
    </row>
    <row r="157">
      <c r="A157" s="11" t="inlineStr">
        <is>
          <t>2582-53-LR26</t>
        </is>
      </c>
      <c r="B157" s="13" t="inlineStr">
        <is>
          <t>CONCESIÓN ESPACIOS VENTA DE SOAP 2027-2029</t>
        </is>
      </c>
      <c r="C157" s="11" t="n">
        <v>10</v>
      </c>
      <c r="D157" s="13" t="inlineStr">
        <is>
          <t>score 10 &lt; 30</t>
        </is>
      </c>
    </row>
    <row r="158">
      <c r="A158" s="11" t="inlineStr">
        <is>
          <t>2585-87-LE26</t>
        </is>
      </c>
      <c r="B158" s="13" t="inlineStr">
        <is>
          <t>ADQ. VEH. ACUATICO Y TODOTERRENO ORD N°167-TURISMO</t>
        </is>
      </c>
      <c r="C158" s="11" t="n">
        <v>0</v>
      </c>
      <c r="D158" s="13" t="inlineStr">
        <is>
          <t>score 0 &lt; 30</t>
        </is>
      </c>
    </row>
    <row r="159">
      <c r="A159" s="11" t="inlineStr">
        <is>
          <t>2591-156-B226</t>
        </is>
      </c>
      <c r="B159" s="13" t="inlineStr">
        <is>
          <t>MEJORAMIENTO SEDE SOCIAL J.V.  N 1 P.ALMONTE</t>
        </is>
      </c>
      <c r="C159" s="11" t="n">
        <v>8</v>
      </c>
      <c r="D159" s="13" t="inlineStr">
        <is>
          <t>solo mencion de inmueble, sin servicio inmobiliario</t>
        </is>
      </c>
    </row>
    <row r="160">
      <c r="A160" s="11" t="inlineStr">
        <is>
          <t>2600-23-LE26</t>
        </is>
      </c>
      <c r="B160" s="13" t="inlineStr">
        <is>
          <t>Const. Accesibilidad Universal Edificio Municipal</t>
        </is>
      </c>
      <c r="C160" s="11" t="n">
        <v>8</v>
      </c>
      <c r="D160" s="13" t="inlineStr">
        <is>
          <t>solo mencion de inmueble, sin servicio inmobiliario</t>
        </is>
      </c>
    </row>
    <row r="161">
      <c r="A161" s="11" t="inlineStr">
        <is>
          <t>2600-26-LR26</t>
        </is>
      </c>
      <c r="B161" s="13" t="inlineStr">
        <is>
          <t>Concesión Servicio de Estacionamiento Regulados en la vía Pública de Parral</t>
        </is>
      </c>
      <c r="C161" s="11" t="n">
        <v>5</v>
      </c>
      <c r="D161" s="13" t="inlineStr">
        <is>
          <t>solo mencion de inmueble, sin servicio inmobiliario</t>
        </is>
      </c>
    </row>
    <row r="162">
      <c r="A162" s="11" t="inlineStr">
        <is>
          <t>2626-8-LE26</t>
        </is>
      </c>
      <c r="B162" s="13" t="inlineStr">
        <is>
          <t>SERVICIO LIMPIA FOSAS Y ARRIENDO BAÑOS QUÍMICOS</t>
        </is>
      </c>
      <c r="C162" s="11" t="n">
        <v>16</v>
      </c>
      <c r="D162" s="13" t="inlineStr">
        <is>
          <t>score 16 &lt; 30</t>
        </is>
      </c>
    </row>
    <row r="163">
      <c r="A163" s="11" t="inlineStr">
        <is>
          <t>2627-15-LE26</t>
        </is>
      </c>
      <c r="B163" s="13" t="inlineStr">
        <is>
          <t>NORMALIZACIÓN ELÉCTRICA EDIFICIO CONSISTORIAL</t>
        </is>
      </c>
      <c r="C163" s="11" t="n">
        <v>8</v>
      </c>
      <c r="D163" s="13" t="inlineStr">
        <is>
          <t>solo mencion de inmueble, sin servicio inmobiliario</t>
        </is>
      </c>
    </row>
    <row r="164">
      <c r="A164" s="11" t="inlineStr">
        <is>
          <t>2664-38-L126</t>
        </is>
      </c>
      <c r="B164" s="13" t="inlineStr">
        <is>
          <t>PUERTAS Y VENTANAS PARA AMPLIACION DE SALA ADRRI</t>
        </is>
      </c>
      <c r="C164" s="11" t="n">
        <v>0</v>
      </c>
      <c r="D164" s="13" t="inlineStr">
        <is>
          <t>score 0 &lt; 30</t>
        </is>
      </c>
    </row>
    <row r="165">
      <c r="A165" s="11" t="inlineStr">
        <is>
          <t>2667-39-LR26</t>
        </is>
      </c>
      <c r="B165" s="13" t="inlineStr">
        <is>
          <t>CONSTRUCCIÓN NUEVO EDIFICIO 37° COMISARIA DE VITACURA</t>
        </is>
      </c>
      <c r="C165" s="11" t="n">
        <v>11</v>
      </c>
      <c r="D165" s="13" t="inlineStr">
        <is>
          <t>score 11 &lt; 30</t>
        </is>
      </c>
    </row>
    <row r="166">
      <c r="A166" s="11" t="inlineStr">
        <is>
          <t>2686-120-CO26</t>
        </is>
      </c>
      <c r="B166" s="13" t="inlineStr">
        <is>
          <t>ARRIENDO E INSTALACION DE MODULOS DE OFICINAS</t>
        </is>
      </c>
      <c r="C166" s="11" t="n">
        <v>22</v>
      </c>
      <c r="D166" s="13" t="inlineStr">
        <is>
          <t>score 22 &lt; 30</t>
        </is>
      </c>
    </row>
    <row r="167">
      <c r="A167" s="11" t="inlineStr">
        <is>
          <t>2697-23-LP26</t>
        </is>
      </c>
      <c r="B167" s="13" t="inlineStr">
        <is>
          <t>HABILITACION PLAZA DEPORTIVA EN COSTANERA SECTOR SAN SEBASTIAN</t>
        </is>
      </c>
      <c r="C167" s="11" t="n">
        <v>0</v>
      </c>
      <c r="D167" s="13" t="inlineStr">
        <is>
          <t>score 0 &lt; 30</t>
        </is>
      </c>
    </row>
    <row r="168">
      <c r="A168" s="11" t="inlineStr">
        <is>
          <t>2697-25-LR26</t>
        </is>
      </c>
      <c r="B168" s="13" t="inlineStr">
        <is>
          <t>HABILITACIÓN CASA DE OFICIOS</t>
        </is>
      </c>
      <c r="C168" s="11" t="n">
        <v>11</v>
      </c>
      <c r="D168" s="13" t="inlineStr">
        <is>
          <t>score 11 &lt; 30</t>
        </is>
      </c>
    </row>
    <row r="169">
      <c r="A169" s="11" t="inlineStr">
        <is>
          <t>2699-32-LR26</t>
        </is>
      </c>
      <c r="B169" s="13" t="inlineStr">
        <is>
          <t>Servicio de Arriendo de Flota Vehicular</t>
        </is>
      </c>
      <c r="C169" s="11" t="n">
        <v>0</v>
      </c>
      <c r="D169" s="13" t="inlineStr">
        <is>
          <t>score 0 &lt; 30</t>
        </is>
      </c>
    </row>
    <row r="170">
      <c r="A170" s="11" t="inlineStr">
        <is>
          <t>2702-62-LE26</t>
        </is>
      </c>
      <c r="B170" s="13" t="inlineStr">
        <is>
          <t>SERVICIO DE ARRIENDO BAÑOS QUÍMICOS FIESTA CHILEN</t>
        </is>
      </c>
      <c r="C170" s="11" t="n">
        <v>0</v>
      </c>
      <c r="D170" s="13" t="inlineStr">
        <is>
          <t>score 0 &lt; 30</t>
        </is>
      </c>
    </row>
    <row r="171">
      <c r="A171" s="11" t="inlineStr">
        <is>
          <t>2703-175-L126</t>
        </is>
      </c>
      <c r="B171" s="13" t="inlineStr">
        <is>
          <t>SC 12493 Servicio REAS retiro traslado y eliminación de Residuos</t>
        </is>
      </c>
      <c r="C171" s="11" t="n">
        <v>0</v>
      </c>
      <c r="D171" s="13" t="inlineStr">
        <is>
          <t>score 0 &lt; 30</t>
        </is>
      </c>
    </row>
    <row r="172">
      <c r="A172" s="11" t="inlineStr">
        <is>
          <t>2723-61-LR26</t>
        </is>
      </c>
      <c r="B172" s="13" t="inlineStr">
        <is>
          <t>Concesión Estacionamientos Calles Comuna de Buin</t>
        </is>
      </c>
      <c r="C172" s="11" t="n">
        <v>5</v>
      </c>
      <c r="D172" s="13" t="inlineStr">
        <is>
          <t>solo mencion de inmueble, sin servicio inmobiliario</t>
        </is>
      </c>
    </row>
    <row r="173">
      <c r="A173" s="11" t="inlineStr">
        <is>
          <t>2730-113-LE26</t>
        </is>
      </c>
      <c r="B173" s="13" t="inlineStr">
        <is>
          <t>Servicio de Traslado y Movilización Para Distintos  Programas de Dideco</t>
        </is>
      </c>
      <c r="C173" s="11" t="n">
        <v>9</v>
      </c>
      <c r="D173" s="13" t="inlineStr">
        <is>
          <t>score 9 &lt; 30</t>
        </is>
      </c>
    </row>
    <row r="174">
      <c r="A174" s="11" t="inlineStr">
        <is>
          <t>2736-32-LE26</t>
        </is>
      </c>
      <c r="B174" s="13" t="inlineStr">
        <is>
          <t>Materiales de Oficina</t>
        </is>
      </c>
      <c r="C174" s="11" t="n">
        <v>10</v>
      </c>
      <c r="D174" s="13" t="inlineStr">
        <is>
          <t>solo mencion de inmueble, sin servicio inmobiliario</t>
        </is>
      </c>
    </row>
    <row r="175">
      <c r="A175" s="11" t="inlineStr">
        <is>
          <t>2744-30-LE26</t>
        </is>
      </c>
      <c r="B175" s="13" t="inlineStr">
        <is>
          <t>Habilitación Estructural de Sala AIDA CESFAM Alemania</t>
        </is>
      </c>
      <c r="C175" s="11" t="n">
        <v>0</v>
      </c>
      <c r="D175" s="13" t="inlineStr">
        <is>
          <t>score 0 &lt; 30</t>
        </is>
      </c>
    </row>
    <row r="176">
      <c r="A176" s="11" t="inlineStr">
        <is>
          <t>2755-34-LE26</t>
        </is>
      </c>
      <c r="B176" s="13" t="inlineStr">
        <is>
          <t>ADQUISICION DE MOVIL PARA DEPARTAMENTO OPERACIONES</t>
        </is>
      </c>
      <c r="C176" s="11" t="n">
        <v>5</v>
      </c>
      <c r="D176" s="13" t="inlineStr">
        <is>
          <t>solo mencion de inmueble, sin servicio inmobiliario</t>
        </is>
      </c>
    </row>
    <row r="177">
      <c r="A177" s="11" t="inlineStr">
        <is>
          <t>2770-109-LR26</t>
        </is>
      </c>
      <c r="B177" s="13" t="inlineStr">
        <is>
          <t>HABILITACIÓN DEPENDENCIAS DIRECCIÓN DE SALUD MUNICIPAL</t>
        </is>
      </c>
      <c r="C177" s="11" t="n">
        <v>11</v>
      </c>
      <c r="D177" s="13" t="inlineStr">
        <is>
          <t>score 11 &lt; 30</t>
        </is>
      </c>
    </row>
    <row r="178">
      <c r="A178" s="11" t="inlineStr">
        <is>
          <t>2784-42-LP26</t>
        </is>
      </c>
      <c r="B178" s="13" t="inlineStr">
        <is>
          <t>CONSTRUCCIÓN RECINTO COMUNITARIO LA HIGUERA comuna de La Ligua Cod.40067467-0</t>
        </is>
      </c>
      <c r="C178" s="11" t="n">
        <v>5</v>
      </c>
      <c r="D178" s="13" t="inlineStr">
        <is>
          <t>solo mencion de inmueble, sin servicio inmobiliario</t>
        </is>
      </c>
    </row>
    <row r="179">
      <c r="A179" s="11" t="inlineStr">
        <is>
          <t>2788-43-LE26</t>
        </is>
      </c>
      <c r="B179" s="13" t="inlineStr">
        <is>
          <t>SERVICIO DE ARRIENDO DE BAÑOS FIESTAS PATRIAS</t>
        </is>
      </c>
      <c r="C179" s="11" t="n">
        <v>0</v>
      </c>
      <c r="D179" s="13" t="inlineStr">
        <is>
          <t>score 0 &lt; 30</t>
        </is>
      </c>
    </row>
    <row r="180">
      <c r="A180" s="11" t="inlineStr">
        <is>
          <t>2788-44-LE26</t>
        </is>
      </c>
      <c r="B180" s="13" t="inlineStr">
        <is>
          <t>SERVICIO DE ARRIENDO DE VALLAS PAPALES</t>
        </is>
      </c>
      <c r="C180" s="11" t="n">
        <v>0</v>
      </c>
      <c r="D180" s="13" t="inlineStr">
        <is>
          <t>score 0 &lt; 30</t>
        </is>
      </c>
    </row>
    <row r="181">
      <c r="A181" s="11" t="inlineStr">
        <is>
          <t>2793-100-CO26</t>
        </is>
      </c>
      <c r="B181" s="13" t="inlineStr">
        <is>
          <t>MANTENIMIENTO SISTEMA CLIMATIZACIÓN DE DIFERENTES RECINTOS MUNICIPALES</t>
        </is>
      </c>
      <c r="C181" s="11" t="n">
        <v>5</v>
      </c>
      <c r="D181" s="13" t="inlineStr">
        <is>
          <t>solo mencion de inmueble, sin servicio inmobiliario</t>
        </is>
      </c>
    </row>
    <row r="182">
      <c r="A182" s="11" t="inlineStr">
        <is>
          <t>2793-91-LE26</t>
        </is>
      </c>
      <c r="B182" s="13" t="inlineStr">
        <is>
          <t>HABILITACIÓN PLATABANDA ACCESOS A EDIFICIO PDI COMUNA DE HUECHURABA</t>
        </is>
      </c>
      <c r="C182" s="11" t="n">
        <v>14</v>
      </c>
      <c r="D182" s="13" t="inlineStr">
        <is>
          <t>score 14 &lt; 30</t>
        </is>
      </c>
    </row>
    <row r="183">
      <c r="A183" s="11" t="inlineStr">
        <is>
          <t>2793-97-LE26</t>
        </is>
      </c>
      <c r="B183" s="13" t="inlineStr">
        <is>
          <t>CONTRATACIÓN SERVICIO DE TRASLADO DE DEUDOS MUNICIPALIDAD DE  HUECHURABA</t>
        </is>
      </c>
      <c r="C183" s="11" t="n">
        <v>0</v>
      </c>
      <c r="D183" s="13" t="inlineStr">
        <is>
          <t>score 0 &lt; 30</t>
        </is>
      </c>
    </row>
    <row r="184">
      <c r="A184" s="11" t="inlineStr">
        <is>
          <t>2825-49-L126</t>
        </is>
      </c>
      <c r="B184" s="13" t="inlineStr">
        <is>
          <t>ADQUISICION E INSTALACION DE VENTANAS PARA POSTA PUTU</t>
        </is>
      </c>
      <c r="C184" s="11" t="n">
        <v>0</v>
      </c>
      <c r="D184" s="13" t="inlineStr">
        <is>
          <t>score 0 &lt; 30</t>
        </is>
      </c>
    </row>
    <row r="185">
      <c r="A185" s="11" t="inlineStr">
        <is>
          <t>2905-40-LP26</t>
        </is>
      </c>
      <c r="B185" s="13" t="inlineStr">
        <is>
          <t>Mejoramiento y Ampliación Sede Social Plazoleta</t>
        </is>
      </c>
      <c r="C185" s="11" t="n">
        <v>8</v>
      </c>
      <c r="D185" s="13" t="inlineStr">
        <is>
          <t>solo mencion de inmueble, sin servicio inmobiliario</t>
        </is>
      </c>
    </row>
    <row r="186">
      <c r="A186" s="11" t="inlineStr">
        <is>
          <t>2905-42-LP26</t>
        </is>
      </c>
      <c r="B186" s="13" t="inlineStr">
        <is>
          <t>Habilitación Oficinas Municipales Calle Alberto C</t>
        </is>
      </c>
      <c r="C186" s="11" t="n">
        <v>16</v>
      </c>
      <c r="D186" s="13" t="inlineStr">
        <is>
          <t>score 16 &lt; 30</t>
        </is>
      </c>
    </row>
    <row r="187">
      <c r="A187" s="11" t="inlineStr">
        <is>
          <t>2963-26-LR26</t>
        </is>
      </c>
      <c r="B187" s="13" t="inlineStr">
        <is>
          <t>SERVICIO DE IMAGENOLOGÍA PARA LOS CENTROS DE SALUD FAMILIAR Y LAS UNIDADES DEPENDIENTES DEL DEPARTAMENTO DE ADMINISTRACIÓN DE SALUD DE LA I. MUNICIPALIDAD DE LA GRANJA”</t>
        </is>
      </c>
      <c r="C187" s="11" t="n">
        <v>5</v>
      </c>
      <c r="D187" s="13" t="inlineStr">
        <is>
          <t>solo mencion de inmueble, sin servicio inmobiliario</t>
        </is>
      </c>
    </row>
    <row r="188">
      <c r="A188" s="11" t="inlineStr">
        <is>
          <t>29-64-LP26</t>
        </is>
      </c>
      <c r="B188" s="13" t="inlineStr">
        <is>
          <t>GTM 54-2026 SERVICIO DE REPOSICIÓN DE VENTANAS</t>
        </is>
      </c>
      <c r="C188" s="11" t="n">
        <v>10</v>
      </c>
      <c r="D188" s="13" t="inlineStr">
        <is>
          <t>score 10 &lt; 30</t>
        </is>
      </c>
    </row>
    <row r="189">
      <c r="A189" s="11" t="inlineStr">
        <is>
          <t>2981-235-LP26</t>
        </is>
      </c>
      <c r="B189" s="13" t="inlineStr">
        <is>
          <t>DEINFRA - HABILITACIÓN MODULARES CECAPRO 2027</t>
        </is>
      </c>
      <c r="C189" s="11" t="n">
        <v>10</v>
      </c>
      <c r="D189" s="13" t="inlineStr">
        <is>
          <t>score 10 &lt; 30</t>
        </is>
      </c>
    </row>
    <row r="190">
      <c r="A190" s="11" t="inlineStr">
        <is>
          <t>2981-236-LR26</t>
        </is>
      </c>
      <c r="B190" s="13" t="inlineStr">
        <is>
          <t>DEINFRA - HABILITACIÓN CECAPRO 2027 COD. BIP 40081088-0</t>
        </is>
      </c>
      <c r="C190" s="11" t="n">
        <v>0</v>
      </c>
      <c r="D190" s="13" t="inlineStr">
        <is>
          <t>score 0 &lt; 30</t>
        </is>
      </c>
    </row>
    <row r="191">
      <c r="A191" s="11" t="inlineStr">
        <is>
          <t>3017-68-LE26</t>
        </is>
      </c>
      <c r="B191" s="13" t="inlineStr">
        <is>
          <t>ADQUISICION DE EQUIPAMIENTO PARA PATRULLAJE PREVENTIVO Y AMPLIACION DE LAS DEPENDENCIAS DE LA DIRECCION DE SEGURIDAD PUBLICA</t>
        </is>
      </c>
      <c r="C191" s="11" t="n">
        <v>8</v>
      </c>
      <c r="D191" s="13" t="inlineStr">
        <is>
          <t>solo mencion de inmueble, sin servicio inmobiliario</t>
        </is>
      </c>
    </row>
    <row r="192">
      <c r="A192" s="11" t="inlineStr">
        <is>
          <t>3069-3-LE26</t>
        </is>
      </c>
      <c r="B192" s="13" t="inlineStr">
        <is>
          <t>Traslado de Pasajeros</t>
        </is>
      </c>
      <c r="C192" s="11" t="n">
        <v>8</v>
      </c>
      <c r="D192" s="13" t="inlineStr">
        <is>
          <t>score 8 &lt; 30</t>
        </is>
      </c>
    </row>
    <row r="193">
      <c r="A193" s="11" t="inlineStr">
        <is>
          <t>3084-31-LE26</t>
        </is>
      </c>
      <c r="B193" s="13" t="inlineStr">
        <is>
          <t>SERVICIO REPARACIÓN DE OFICINAS PARA LA DIRECCIÓN DE TELECOMUNICACIONES E INFORMÁTICA DE LA ARMADA.</t>
        </is>
      </c>
      <c r="C193" s="11" t="n">
        <v>16</v>
      </c>
      <c r="D193" s="13" t="inlineStr">
        <is>
          <t>score 16 &lt; 30</t>
        </is>
      </c>
    </row>
    <row r="194">
      <c r="A194" s="11" t="inlineStr">
        <is>
          <t>3092-16-L126</t>
        </is>
      </c>
      <c r="B194" s="13" t="inlineStr">
        <is>
          <t>SERVICIOS DE IMPRESION DE CARNET INTEGRAL  DE SALUD  ( ECICEP) PARA  PACIENTES DE LAS POSTAS DE SALUD RURALES  POR EL PROGRAMA MODELO DE ATENCION INTEGRAL DE SALUD FAMILIAR Y COMUNITARIA EN APS DE LA DIRECCION DE SALUD DE LA I. MUNICIPALIDAD DE CASABLANCA</t>
        </is>
      </c>
      <c r="C194" s="11" t="n">
        <v>5</v>
      </c>
      <c r="D194" s="13" t="inlineStr">
        <is>
          <t>solo mencion de inmueble, sin servicio inmobiliario</t>
        </is>
      </c>
    </row>
    <row r="195">
      <c r="A195" s="11" t="inlineStr">
        <is>
          <t>3159-18-LE26</t>
        </is>
      </c>
      <c r="B195" s="13" t="inlineStr">
        <is>
          <t>CAMBIO DE VENTANAS EN VIVIENDAS FISCALES</t>
        </is>
      </c>
      <c r="C195" s="11" t="n">
        <v>0</v>
      </c>
      <c r="D195" s="13" t="inlineStr">
        <is>
          <t>score 0 &lt; 30</t>
        </is>
      </c>
    </row>
    <row r="196">
      <c r="A196" s="11" t="inlineStr">
        <is>
          <t>3172-46-LR26</t>
        </is>
      </c>
      <c r="B196" s="13" t="inlineStr">
        <is>
          <t>PROYECTO AMPLACIÓN ESFOCAR SEDE PUERTO MONTT</t>
        </is>
      </c>
      <c r="C196" s="11" t="n">
        <v>8</v>
      </c>
      <c r="D196" s="13" t="inlineStr">
        <is>
          <t>solo mencion de inmueble, sin servicio inmobiliario</t>
        </is>
      </c>
    </row>
    <row r="197">
      <c r="A197" s="11" t="inlineStr">
        <is>
          <t>3172-63-LE26</t>
        </is>
      </c>
      <c r="B197" s="13" t="inlineStr">
        <is>
          <t>MEJ.DEPENDENCIAS DIRECCIÓN EDUCACIÓNDOCT.E HIST.</t>
        </is>
      </c>
      <c r="C197" s="11" t="n">
        <v>8</v>
      </c>
      <c r="D197" s="13" t="inlineStr">
        <is>
          <t>solo mencion de inmueble, sin servicio inmobiliario</t>
        </is>
      </c>
    </row>
    <row r="198">
      <c r="A198" s="11" t="inlineStr">
        <is>
          <t>3179-44-LE26</t>
        </is>
      </c>
      <c r="B198" s="13" t="inlineStr">
        <is>
          <t>ADQUISICIÓN DE CASACA OPERATIVA CON POLAR</t>
        </is>
      </c>
      <c r="C198" s="11" t="n">
        <v>5</v>
      </c>
      <c r="D198" s="13" t="inlineStr">
        <is>
          <t>solo mencion de inmueble, sin servicio inmobiliario</t>
        </is>
      </c>
    </row>
    <row r="199">
      <c r="A199" s="11" t="inlineStr">
        <is>
          <t>3210-7-L126</t>
        </is>
      </c>
      <c r="B199" s="13" t="inlineStr">
        <is>
          <t>SERVICIO DE MANTENCIÓN PREVENTIVA Y CORRECTIVA DE AUTOCLAVE DEL DEPARTAMENTO DE SALUD DE SAN RAFAEL</t>
        </is>
      </c>
      <c r="C199" s="11" t="n">
        <v>11</v>
      </c>
      <c r="D199" s="13" t="inlineStr">
        <is>
          <t>score 11 &lt; 30</t>
        </is>
      </c>
    </row>
    <row r="200">
      <c r="A200" s="11" t="inlineStr">
        <is>
          <t>324-48-LP26</t>
        </is>
      </c>
      <c r="B200" s="13" t="inlineStr">
        <is>
          <t>HABILITACION OFICINAS DIRECCION DE TRÁNSITO</t>
        </is>
      </c>
      <c r="C200" s="11" t="n">
        <v>16</v>
      </c>
      <c r="D200" s="13" t="inlineStr">
        <is>
          <t>score 16 &lt; 30</t>
        </is>
      </c>
    </row>
    <row r="201">
      <c r="A201" s="11" t="inlineStr">
        <is>
          <t>3290-7-LE26</t>
        </is>
      </c>
      <c r="B201" s="13" t="inlineStr">
        <is>
          <t>HABILITACIÓN CTER PDI TEMUCO</t>
        </is>
      </c>
      <c r="C201" s="11" t="n">
        <v>6</v>
      </c>
      <c r="D201" s="13" t="inlineStr">
        <is>
          <t>score 6 &lt; 30</t>
        </is>
      </c>
    </row>
    <row r="202">
      <c r="A202" s="11" t="inlineStr">
        <is>
          <t>3333-32-LE26</t>
        </is>
      </c>
      <c r="B202" s="13" t="inlineStr">
        <is>
          <t>SERV. LEVANTAMIENTO REGISTRO DE INVENTARIO I.M.O</t>
        </is>
      </c>
      <c r="C202" s="11" t="n">
        <v>0</v>
      </c>
      <c r="D202" s="13" t="inlineStr">
        <is>
          <t>score 0 &lt; 30</t>
        </is>
      </c>
    </row>
    <row r="203">
      <c r="A203" s="11" t="inlineStr">
        <is>
          <t>3384-20-LP26</t>
        </is>
      </c>
      <c r="B203" s="13" t="inlineStr">
        <is>
          <t>Arriendo de 28 estaciones de trabajo para el IGM</t>
        </is>
      </c>
      <c r="C203" s="11" t="n">
        <v>0</v>
      </c>
      <c r="D203" s="13" t="inlineStr">
        <is>
          <t>score 0 &lt; 30</t>
        </is>
      </c>
    </row>
    <row r="204">
      <c r="A204" s="11" t="inlineStr">
        <is>
          <t>3436-97-LE26</t>
        </is>
      </c>
      <c r="B204" s="13" t="inlineStr">
        <is>
          <t>Servicio mantenimiento de dependencias SIC 351978</t>
        </is>
      </c>
      <c r="C204" s="11" t="n">
        <v>8</v>
      </c>
      <c r="D204" s="13" t="inlineStr">
        <is>
          <t>solo mencion de inmueble, sin servicio inmobiliario</t>
        </is>
      </c>
    </row>
    <row r="205">
      <c r="A205" s="11" t="inlineStr">
        <is>
          <t>3477-76-LE26</t>
        </is>
      </c>
      <c r="B205" s="13" t="inlineStr">
        <is>
          <t>“MANTENCIÓN Y REPARACIÓN DE EDIFICIO MUNICIPAL”</t>
        </is>
      </c>
      <c r="C205" s="11" t="n">
        <v>8</v>
      </c>
      <c r="D205" s="13" t="inlineStr">
        <is>
          <t>solo mencion de inmueble, sin servicio inmobiliario</t>
        </is>
      </c>
    </row>
    <row r="206">
      <c r="A206" s="11" t="inlineStr">
        <is>
          <t>3542-22-LE26</t>
        </is>
      </c>
      <c r="B206" s="13" t="inlineStr">
        <is>
          <t>SERVICIO DE REMODELACIÓN DE OFICINAS DEL TALLER DE MANTENIMIENTO</t>
        </is>
      </c>
      <c r="C206" s="11" t="n">
        <v>10</v>
      </c>
      <c r="D206" s="13" t="inlineStr">
        <is>
          <t>solo mencion de inmueble, sin servicio inmobiliario</t>
        </is>
      </c>
    </row>
    <row r="207">
      <c r="A207" s="11" t="inlineStr">
        <is>
          <t>3565-58-LE26</t>
        </is>
      </c>
      <c r="B207" s="13" t="inlineStr">
        <is>
          <t>SERVICIO DE TRASLADO PARA EL EQUIPO PROFESIONALES</t>
        </is>
      </c>
      <c r="C207" s="11" t="n">
        <v>8</v>
      </c>
      <c r="D207" s="13" t="inlineStr">
        <is>
          <t>score 8 &lt; 30</t>
        </is>
      </c>
    </row>
    <row r="208">
      <c r="A208" s="11" t="inlineStr">
        <is>
          <t>3595-25-LE26</t>
        </is>
      </c>
      <c r="B208" s="13" t="inlineStr">
        <is>
          <t>Cambio de pavimento edificio consistorial</t>
        </is>
      </c>
      <c r="C208" s="11" t="n">
        <v>8</v>
      </c>
      <c r="D208" s="13" t="inlineStr">
        <is>
          <t>solo mencion de inmueble, sin servicio inmobiliario</t>
        </is>
      </c>
    </row>
    <row r="209">
      <c r="A209" s="11" t="inlineStr">
        <is>
          <t>3611-11-LE26</t>
        </is>
      </c>
      <c r="B209" s="13" t="inlineStr">
        <is>
          <t>Servicio de retiro traslado y eliminación de material cortopunzante residuos médicos y otros del Departamento de Salud Municipal Puerto Saavedra y su CSR de Dominguez</t>
        </is>
      </c>
      <c r="C209" s="11" t="n">
        <v>9</v>
      </c>
      <c r="D209" s="13" t="inlineStr">
        <is>
          <t>score 9 &lt; 30</t>
        </is>
      </c>
    </row>
    <row r="210">
      <c r="A210" s="11" t="inlineStr">
        <is>
          <t>3656-148-LP26</t>
        </is>
      </c>
      <c r="B210" s="13" t="inlineStr">
        <is>
          <t>CONSTRUCCION SEDE SECTOR PIMPINELA COMUNA DE REQUÍNOA</t>
        </is>
      </c>
      <c r="C210" s="11" t="n">
        <v>8</v>
      </c>
      <c r="D210" s="13" t="inlineStr">
        <is>
          <t>solo mencion de inmueble, sin servicio inmobiliario</t>
        </is>
      </c>
    </row>
    <row r="211">
      <c r="A211" s="11" t="inlineStr">
        <is>
          <t>3668-14-LP26</t>
        </is>
      </c>
      <c r="B211" s="13" t="inlineStr">
        <is>
          <t>MEJORAMIENTO CAMARIN Y SEDE ESTADIO LOS BAJOS DE SAN AGUSTÍN CALERA DE TANGO - CÓDIGO BIP N°40069327-0</t>
        </is>
      </c>
      <c r="C211" s="11" t="n">
        <v>8</v>
      </c>
      <c r="D211" s="13" t="inlineStr">
        <is>
          <t>solo mencion de inmueble, sin servicio inmobiliario</t>
        </is>
      </c>
    </row>
    <row r="212">
      <c r="A212" s="11" t="inlineStr">
        <is>
          <t>3671-58-LE26</t>
        </is>
      </c>
      <c r="B212" s="13" t="inlineStr">
        <is>
          <t xml:space="preserve">“HABILITACIÓN DE NUEVAS DEPENDENCIAS DE SEGURIDAD MUNICIPAL E INFORMÁTICA DE LA MUNICIPALIDAD DE CHILLÁN VIEJO” </t>
        </is>
      </c>
      <c r="C212" s="11" t="n">
        <v>14</v>
      </c>
      <c r="D212" s="13" t="inlineStr">
        <is>
          <t>score 14 &lt; 30</t>
        </is>
      </c>
    </row>
    <row r="213">
      <c r="A213" s="11" t="inlineStr">
        <is>
          <t>3775-28-LP26</t>
        </is>
      </c>
      <c r="B213" s="13" t="inlineStr">
        <is>
          <t>HABILITACIÓN SSHH OFICINA Y AU MUN. DE HIJUELAS</t>
        </is>
      </c>
      <c r="C213" s="11" t="n">
        <v>16</v>
      </c>
      <c r="D213" s="13" t="inlineStr">
        <is>
          <t>score 16 &lt; 30</t>
        </is>
      </c>
    </row>
    <row r="214">
      <c r="A214" s="11" t="inlineStr">
        <is>
          <t>3798-13-LP26</t>
        </is>
      </c>
      <c r="B214" s="13" t="inlineStr">
        <is>
          <t>MEJORAMIENTO EDIFICIO CONSISTORIAL EMPEDRADO - BIP 40.068.326-0 - FRIL</t>
        </is>
      </c>
      <c r="C214" s="11" t="n">
        <v>8</v>
      </c>
      <c r="D214" s="13" t="inlineStr">
        <is>
          <t>solo mencion de inmueble, sin servicio inmobiliario</t>
        </is>
      </c>
    </row>
    <row r="215">
      <c r="A215" s="11" t="inlineStr">
        <is>
          <t>3798-15-LP26</t>
        </is>
      </c>
      <c r="B215" s="13" t="inlineStr">
        <is>
          <t>HABILITACIÓN PATIO MANIOBRAS CUERPO DE BOMBEROS EMPEDRADO - BP 40.057.848-0 - FRIL</t>
        </is>
      </c>
      <c r="C215" s="11" t="n">
        <v>0</v>
      </c>
      <c r="D215" s="13" t="inlineStr">
        <is>
          <t>score 0 &lt; 30</t>
        </is>
      </c>
    </row>
    <row r="216">
      <c r="A216" s="11" t="inlineStr">
        <is>
          <t>3880-61-LE26</t>
        </is>
      </c>
      <c r="B216" s="13" t="inlineStr">
        <is>
          <t>HABILITACION CAMARINES ESCUELA DE COLIN SECPLAN</t>
        </is>
      </c>
      <c r="C216" s="11" t="n">
        <v>6</v>
      </c>
      <c r="D216" s="13" t="inlineStr">
        <is>
          <t>score 6 &lt; 30</t>
        </is>
      </c>
    </row>
    <row r="217">
      <c r="A217" s="11" t="inlineStr">
        <is>
          <t>3882-72-LP26</t>
        </is>
      </c>
      <c r="B217" s="13" t="inlineStr">
        <is>
          <t>MEJORAMIENTO RECINTO CANCHA CLUB DEPORTIVO LAS PALMAS COMUNA DE LLAY LLAY</t>
        </is>
      </c>
      <c r="C217" s="11" t="n">
        <v>5</v>
      </c>
      <c r="D217" s="13" t="inlineStr">
        <is>
          <t>solo mencion de inmueble, sin servicio inmobiliario</t>
        </is>
      </c>
    </row>
    <row r="218">
      <c r="A218" s="11" t="inlineStr">
        <is>
          <t>3887-39-LP26</t>
        </is>
      </c>
      <c r="B218" s="13" t="inlineStr">
        <is>
          <t>Concesion Explotacion Estacionamiento C Villarrica</t>
        </is>
      </c>
      <c r="C218" s="11" t="n">
        <v>5</v>
      </c>
      <c r="D218" s="13" t="inlineStr">
        <is>
          <t>solo mencion de inmueble, sin servicio inmobiliario</t>
        </is>
      </c>
    </row>
    <row r="219">
      <c r="A219" s="11" t="inlineStr">
        <is>
          <t>3889-41-LP26</t>
        </is>
      </c>
      <c r="B219" s="13" t="inlineStr">
        <is>
          <t>MEJORAMIENTO AREA VERDE Y SEDE VILLA CARRANZA</t>
        </is>
      </c>
      <c r="C219" s="11" t="n">
        <v>8</v>
      </c>
      <c r="D219" s="13" t="inlineStr">
        <is>
          <t>solo mencion de inmueble, sin servicio inmobiliario</t>
        </is>
      </c>
    </row>
    <row r="220">
      <c r="A220" s="11" t="inlineStr">
        <is>
          <t>3890-167-L126</t>
        </is>
      </c>
      <c r="B220" s="13" t="inlineStr">
        <is>
          <t>ADQ. PREMIOS ACTIVIDADES OFICINA LOCAL DE LA NIÑEZ</t>
        </is>
      </c>
      <c r="C220" s="11" t="n">
        <v>10</v>
      </c>
      <c r="D220" s="13" t="inlineStr">
        <is>
          <t>solo mencion de inmueble, sin servicio inmobiliario</t>
        </is>
      </c>
    </row>
    <row r="221">
      <c r="A221" s="11" t="inlineStr">
        <is>
          <t>3890-171-L126</t>
        </is>
      </c>
      <c r="B221" s="13" t="inlineStr">
        <is>
          <t>ADQ. MATERIALES DIDACTICOS Y OFICINA FIADI Y PMJH</t>
        </is>
      </c>
      <c r="C221" s="11" t="n">
        <v>10</v>
      </c>
      <c r="D221" s="13" t="inlineStr">
        <is>
          <t>solo mencion de inmueble, sin servicio inmobiliario</t>
        </is>
      </c>
    </row>
    <row r="222">
      <c r="A222" s="11" t="inlineStr">
        <is>
          <t>3935-83-LP26</t>
        </is>
      </c>
      <c r="B222" s="13" t="inlineStr">
        <is>
          <t>CONSTRUCCIÓN DE PATIO TECHADO Y HABILITACIÓN DE COCINERÍAS DE GALERÍA MUNICIPAL COMUNA DE FREIRE</t>
        </is>
      </c>
      <c r="C222" s="11" t="n">
        <v>0</v>
      </c>
      <c r="D222" s="13" t="inlineStr">
        <is>
          <t>score 0 &lt; 30</t>
        </is>
      </c>
    </row>
    <row r="223">
      <c r="A223" s="11" t="inlineStr">
        <is>
          <t>3938-25-LE26</t>
        </is>
      </c>
      <c r="B223" s="13" t="inlineStr">
        <is>
          <t>Mejoramiento Cierre Perimetral Recinto Deportivo Catripulli</t>
        </is>
      </c>
      <c r="C223" s="11" t="n">
        <v>5</v>
      </c>
      <c r="D223" s="13" t="inlineStr">
        <is>
          <t>solo mencion de inmueble, sin servicio inmobiliario</t>
        </is>
      </c>
    </row>
    <row r="224">
      <c r="A224" s="11" t="inlineStr">
        <is>
          <t>3997-59-B226</t>
        </is>
      </c>
      <c r="B224" s="13" t="inlineStr">
        <is>
          <t>ADECUACIÓN DEPARTAMENTO DE FINANZAS Y JUZGADO DE POLICÍA LOCAL EN EDIFICIO CONSISTORIAL DE LA MUNICIPALIDAD DE COLTAUCO</t>
        </is>
      </c>
      <c r="C224" s="11" t="n">
        <v>8</v>
      </c>
      <c r="D224" s="13" t="inlineStr">
        <is>
          <t>solo mencion de inmueble, sin servicio inmobiliario</t>
        </is>
      </c>
    </row>
    <row r="225">
      <c r="A225" s="11" t="inlineStr">
        <is>
          <t>4006-21-LE26</t>
        </is>
      </c>
      <c r="B225" s="13" t="inlineStr">
        <is>
          <t>Mejoramiento Area Deportiva Ventanas</t>
        </is>
      </c>
      <c r="C225" s="11" t="n">
        <v>0</v>
      </c>
      <c r="D225" s="13" t="inlineStr">
        <is>
          <t>score 0 &lt; 30</t>
        </is>
      </c>
    </row>
    <row r="226">
      <c r="A226" s="11" t="inlineStr">
        <is>
          <t>4031-14-LE26</t>
        </is>
      </c>
      <c r="B226" s="13" t="inlineStr">
        <is>
          <t>REP. DEL 2 PISO DE LA SEDE SOCIAL DE CHAPIQUILTA</t>
        </is>
      </c>
      <c r="C226" s="11" t="n">
        <v>8</v>
      </c>
      <c r="D226" s="13" t="inlineStr">
        <is>
          <t>solo mencion de inmueble, sin servicio inmobiliario</t>
        </is>
      </c>
    </row>
    <row r="227">
      <c r="A227" s="11" t="inlineStr">
        <is>
          <t>407-113-LP26</t>
        </is>
      </c>
      <c r="B227" s="13" t="inlineStr">
        <is>
          <t>MANTENIMIENTO PREVENTIVO Y CORRECTIVO DE GRUPOS ELECTRÓGENO EDIFICIO CAA Y PSIQUIATRÍA</t>
        </is>
      </c>
      <c r="C227" s="11" t="n">
        <v>8</v>
      </c>
      <c r="D227" s="13" t="inlineStr">
        <is>
          <t>solo mencion de inmueble, sin servicio inmobiliario</t>
        </is>
      </c>
    </row>
    <row r="228">
      <c r="A228" s="11" t="inlineStr">
        <is>
          <t>4086-43-LE26</t>
        </is>
      </c>
      <c r="B228" s="13" t="inlineStr">
        <is>
          <t>SERVICIO ARRIENDO DE EXCAVADORA</t>
        </is>
      </c>
      <c r="C228" s="11" t="n">
        <v>0</v>
      </c>
      <c r="D228" s="13" t="inlineStr">
        <is>
          <t>score 0 &lt; 30</t>
        </is>
      </c>
    </row>
    <row r="229">
      <c r="A229" s="11" t="inlineStr">
        <is>
          <t>4099-22-LP26</t>
        </is>
      </c>
      <c r="B229" s="13" t="inlineStr">
        <is>
          <t xml:space="preserve">Construcción Sede Las Mercedes Comuna de María Pinto </t>
        </is>
      </c>
      <c r="C229" s="11" t="n">
        <v>8</v>
      </c>
      <c r="D229" s="13" t="inlineStr">
        <is>
          <t>solo mencion de inmueble, sin servicio inmobiliario</t>
        </is>
      </c>
    </row>
    <row r="230">
      <c r="A230" s="11" t="inlineStr">
        <is>
          <t>4121-23-LE26</t>
        </is>
      </c>
      <c r="B230" s="13" t="inlineStr">
        <is>
          <t>HABILITACIÓN SEÑALÉTICA Y REDUCTORES DE VELOCIDAD</t>
        </is>
      </c>
      <c r="C230" s="11" t="n">
        <v>0</v>
      </c>
      <c r="D230" s="13" t="inlineStr">
        <is>
          <t>score 0 &lt; 30</t>
        </is>
      </c>
    </row>
    <row r="231">
      <c r="A231" s="11" t="inlineStr">
        <is>
          <t>4152-28-LE26</t>
        </is>
      </c>
      <c r="B231" s="13" t="inlineStr">
        <is>
          <t>SERVICIO DE REPARACION Y HABILITACION DE VIVIENDAS</t>
        </is>
      </c>
      <c r="C231" s="11" t="n">
        <v>0</v>
      </c>
      <c r="D231" s="13" t="inlineStr">
        <is>
          <t>score 0 &lt; 30</t>
        </is>
      </c>
    </row>
    <row r="232">
      <c r="A232" s="11" t="inlineStr">
        <is>
          <t>4168-81-LE26</t>
        </is>
      </c>
      <c r="B232" s="13" t="inlineStr">
        <is>
          <t>ARRIENDO DE GRADERÍAS MECANO</t>
        </is>
      </c>
      <c r="C232" s="11" t="n">
        <v>0</v>
      </c>
      <c r="D232" s="13" t="inlineStr">
        <is>
          <t>score 0 &lt; 30</t>
        </is>
      </c>
    </row>
    <row r="233">
      <c r="A233" s="11" t="inlineStr">
        <is>
          <t>418-51-LP26</t>
        </is>
      </c>
      <c r="B233" s="13" t="inlineStr">
        <is>
          <t>CONVENIO SUMINISTRO CON COMODATO MICROBIOLOGÍA</t>
        </is>
      </c>
      <c r="C233" s="11" t="n">
        <v>0</v>
      </c>
      <c r="D233" s="13" t="inlineStr">
        <is>
          <t>score 0 &lt; 30</t>
        </is>
      </c>
    </row>
    <row r="234">
      <c r="A234" s="11" t="inlineStr">
        <is>
          <t>4202-39-LE26</t>
        </is>
      </c>
      <c r="B234" s="13" t="inlineStr">
        <is>
          <t>Segundo llamado Arriendo recinto Pasamos Agosto</t>
        </is>
      </c>
      <c r="C234" s="11" t="n">
        <v>17</v>
      </c>
      <c r="D234" s="13" t="inlineStr">
        <is>
          <t>score 17 &lt; 30</t>
        </is>
      </c>
    </row>
    <row r="235">
      <c r="A235" s="11" t="inlineStr">
        <is>
          <t>4236-22-L126</t>
        </is>
      </c>
      <c r="B235" s="13" t="inlineStr">
        <is>
          <t>INSTALACIÓN DE VENTANA Y MAMPARA EDIFICIO CONSISTORIAL</t>
        </is>
      </c>
      <c r="C235" s="11" t="n">
        <v>14</v>
      </c>
      <c r="D235" s="13" t="inlineStr">
        <is>
          <t>score 14 &lt; 30</t>
        </is>
      </c>
    </row>
    <row r="236">
      <c r="A236" s="11" t="inlineStr">
        <is>
          <t>4237-12-LR26</t>
        </is>
      </c>
      <c r="B236" s="13" t="inlineStr">
        <is>
          <t>CONCESION DEL SISTEMA DE CONTROL DE ESTACIONAMIENTOS EN LAS VIAS PUBLOICAS EN LA COMUNA DE CONCEPCION II LLAMADO</t>
        </is>
      </c>
      <c r="C236" s="11" t="n">
        <v>5</v>
      </c>
      <c r="D236" s="13" t="inlineStr">
        <is>
          <t>solo mencion de inmueble, sin servicio inmobiliario</t>
        </is>
      </c>
    </row>
    <row r="237">
      <c r="A237" s="11" t="inlineStr">
        <is>
          <t>4238-66-B226</t>
        </is>
      </c>
      <c r="B237" s="13" t="inlineStr">
        <is>
          <t>PROYECTO DE HABILITACION CENTRO DE RESOLUTIVIDAD</t>
        </is>
      </c>
      <c r="C237" s="11" t="n">
        <v>0</v>
      </c>
      <c r="D237" s="13" t="inlineStr">
        <is>
          <t>score 0 &lt; 30</t>
        </is>
      </c>
    </row>
    <row r="238">
      <c r="A238" s="11" t="inlineStr">
        <is>
          <t>4295-41-LP26</t>
        </is>
      </c>
      <c r="B238" s="13" t="inlineStr">
        <is>
          <t>Reposición Sede Comunitaria Francisco de Aguirre</t>
        </is>
      </c>
      <c r="C238" s="11" t="n">
        <v>8</v>
      </c>
      <c r="D238" s="13" t="inlineStr">
        <is>
          <t>solo mencion de inmueble, sin servicio inmobiliario</t>
        </is>
      </c>
    </row>
    <row r="239">
      <c r="A239" s="11" t="inlineStr">
        <is>
          <t>4309-215-LP26</t>
        </is>
      </c>
      <c r="B239" s="13" t="inlineStr">
        <is>
          <t xml:space="preserve">CONVENIO SUMINISTRO DE REACTIVOS PARA INMUNOANALISIS DE IGG -CHAGAS E IGRA DE TUBERCULOSIS ASOCIADO A EQUIPOS EN COMODATO 2026 </t>
        </is>
      </c>
      <c r="C239" s="11" t="n">
        <v>0</v>
      </c>
      <c r="D239" s="13" t="inlineStr">
        <is>
          <t>score 0 &lt; 30</t>
        </is>
      </c>
    </row>
    <row r="240">
      <c r="A240" s="11" t="inlineStr">
        <is>
          <t>4328-31-B226</t>
        </is>
      </c>
      <c r="B240" s="13" t="inlineStr">
        <is>
          <t>ADQUISICIÓN DE TERRENO SAN GREGORIO ÑIQUÉN</t>
        </is>
      </c>
      <c r="C240" s="11" t="n">
        <v>9</v>
      </c>
      <c r="D240" s="13" t="inlineStr">
        <is>
          <t>solo mencion de inmueble, sin servicio inmobiliario</t>
        </is>
      </c>
    </row>
    <row r="241">
      <c r="A241" s="11" t="inlineStr">
        <is>
          <t>4342-2-LP26</t>
        </is>
      </c>
      <c r="B241" s="13" t="inlineStr">
        <is>
          <t>SERVICIOS PARA LAS DEPENDENCIAS DE LA DRMN</t>
        </is>
      </c>
      <c r="C241" s="11" t="n">
        <v>14</v>
      </c>
      <c r="D241" s="13" t="inlineStr">
        <is>
          <t>score 14 &lt; 30</t>
        </is>
      </c>
    </row>
    <row r="242">
      <c r="A242" s="11" t="inlineStr">
        <is>
          <t>4362-15-LP26</t>
        </is>
      </c>
      <c r="B242" s="13" t="inlineStr">
        <is>
          <t>Construcción Sede Social Las Pozas II Nacimiento</t>
        </is>
      </c>
      <c r="C242" s="11" t="n">
        <v>8</v>
      </c>
      <c r="D242" s="13" t="inlineStr">
        <is>
          <t>solo mencion de inmueble, sin servicio inmobiliario</t>
        </is>
      </c>
    </row>
    <row r="243">
      <c r="A243" s="11" t="inlineStr">
        <is>
          <t>4362-20-LE26</t>
        </is>
      </c>
      <c r="B243" s="13" t="inlineStr">
        <is>
          <t>Extensión Redes AP-AS Sede Las Pozas II</t>
        </is>
      </c>
      <c r="C243" s="11" t="n">
        <v>8</v>
      </c>
      <c r="D243" s="13" t="inlineStr">
        <is>
          <t>solo mencion de inmueble, sin servicio inmobiliario</t>
        </is>
      </c>
    </row>
    <row r="244">
      <c r="A244" s="11" t="inlineStr">
        <is>
          <t>438-49-LE26</t>
        </is>
      </c>
      <c r="B244" s="13" t="inlineStr">
        <is>
          <t>HABILITACION INTERIOR AGUAS LLUVIAS E INSTALACION ELECTRICA Y OTROS PARA LA DROGUERIA MUNICIPAL</t>
        </is>
      </c>
      <c r="C244" s="11" t="n">
        <v>0</v>
      </c>
      <c r="D244" s="13" t="inlineStr">
        <is>
          <t>score 0 &lt; 30</t>
        </is>
      </c>
    </row>
    <row r="245">
      <c r="A245" s="11" t="inlineStr">
        <is>
          <t>439-26-LP26</t>
        </is>
      </c>
      <c r="B245" s="13" t="inlineStr">
        <is>
          <t>HABILITACIÓN DE PATIOS RECREATIVOS ESCUELA MEC</t>
        </is>
      </c>
      <c r="C245" s="11" t="n">
        <v>0</v>
      </c>
      <c r="D245" s="13" t="inlineStr">
        <is>
          <t>score 0 &lt; 30</t>
        </is>
      </c>
    </row>
    <row r="246">
      <c r="A246" s="11" t="inlineStr">
        <is>
          <t>4414-61-LE26</t>
        </is>
      </c>
      <c r="B246" s="13" t="inlineStr">
        <is>
          <t>1.500 CANASTAS DE ALIMENTOS PARA STOCK BODEGA ASISTENCIALIDAD - DIDECO</t>
        </is>
      </c>
      <c r="C246" s="11" t="n">
        <v>15</v>
      </c>
      <c r="D246" s="13" t="inlineStr">
        <is>
          <t>score 15 &lt; 30</t>
        </is>
      </c>
    </row>
    <row r="247">
      <c r="A247" s="11" t="inlineStr">
        <is>
          <t>45-44-LE26</t>
        </is>
      </c>
      <c r="B247" s="13" t="inlineStr">
        <is>
          <t>SERVICIO DE MANTENCIÓN ELÉCTRICA Y DE CORRIENTES DÉBILES PARA LAS DIFERENTES DEPENDENCIAS DE SENCE A NIVEL NACIONAL</t>
        </is>
      </c>
      <c r="C247" s="11" t="n">
        <v>8</v>
      </c>
      <c r="D247" s="13" t="inlineStr">
        <is>
          <t>solo mencion de inmueble, sin servicio inmobiliario</t>
        </is>
      </c>
    </row>
    <row r="248">
      <c r="A248" s="11" t="inlineStr">
        <is>
          <t>4591-20-LP26</t>
        </is>
      </c>
      <c r="B248" s="13" t="inlineStr">
        <is>
          <t>arriendo tractor desbrozador Vialidad Prov. Colchagua.</t>
        </is>
      </c>
      <c r="C248" s="11" t="n">
        <v>0</v>
      </c>
      <c r="D248" s="13" t="inlineStr">
        <is>
          <t>score 0 &lt; 30</t>
        </is>
      </c>
    </row>
    <row r="249">
      <c r="A249" s="11" t="inlineStr">
        <is>
          <t>4594-25-LE26</t>
        </is>
      </c>
      <c r="B249" s="13" t="inlineStr">
        <is>
          <t>SUMINISTRO DE MEDICAMENTOS DEPARTAMENTO DE SALUD</t>
        </is>
      </c>
      <c r="C249" s="11" t="n">
        <v>5</v>
      </c>
      <c r="D249" s="13" t="inlineStr">
        <is>
          <t>solo mencion de inmueble, sin servicio inmobiliario</t>
        </is>
      </c>
    </row>
    <row r="250">
      <c r="A250" s="11" t="inlineStr">
        <is>
          <t>4629-26-LE26</t>
        </is>
      </c>
      <c r="B250" s="13" t="inlineStr">
        <is>
          <t>HABILITACIÓN DE PUESTOS DE TRABAJO DT</t>
        </is>
      </c>
      <c r="C250" s="11" t="n">
        <v>0</v>
      </c>
      <c r="D250" s="13" t="inlineStr">
        <is>
          <t>score 0 &lt; 30</t>
        </is>
      </c>
    </row>
    <row r="251">
      <c r="A251" s="11" t="inlineStr">
        <is>
          <t>4642-91-LP26</t>
        </is>
      </c>
      <c r="B251" s="13" t="inlineStr">
        <is>
          <t xml:space="preserve">PROVISIÓN E INSTALACIÓN DE UN 1 DENSITÓMETRO ÓSEO CON OBRAS DE HABILITACIÓN DESTINADO AL SERVICIO DE IMAGENOLOGÍA DEL HOSPITAL DE CARABINEROS. </t>
        </is>
      </c>
      <c r="C251" s="11" t="n">
        <v>0</v>
      </c>
      <c r="D251" s="13" t="inlineStr">
        <is>
          <t>score 0 &lt; 30</t>
        </is>
      </c>
    </row>
    <row r="252">
      <c r="A252" s="11" t="inlineStr">
        <is>
          <t>4642-92-LP26</t>
        </is>
      </c>
      <c r="B252" s="13" t="inlineStr">
        <is>
          <t xml:space="preserve">Contratación del Servicio de Obras de Habilitación de La Sala de Estimulación Temprana del Centro Médico Y Dental de Rancagua Perteneciente a la Red Salud de Carabineros. </t>
        </is>
      </c>
      <c r="C252" s="11" t="n">
        <v>0</v>
      </c>
      <c r="D252" s="13" t="inlineStr">
        <is>
          <t>score 0 &lt; 30</t>
        </is>
      </c>
    </row>
    <row r="253">
      <c r="A253" s="11" t="inlineStr">
        <is>
          <t>4642-93-LP26</t>
        </is>
      </c>
      <c r="B253" s="13" t="inlineStr">
        <is>
          <t>SERVICIO DE OBRAS DE HABILITACIÓN DE LA SALA DE ESTIMULACIÓN TEMPRANA DEL CENTRO MÉDICO Y DENTAL DE VIÑA DEL MAR PERTENECIENTE A LA RED SALUD DE CARABINEROS.</t>
        </is>
      </c>
      <c r="C253" s="11" t="n">
        <v>0</v>
      </c>
      <c r="D253" s="13" t="inlineStr">
        <is>
          <t>score 0 &lt; 30</t>
        </is>
      </c>
    </row>
    <row r="254">
      <c r="A254" s="11" t="inlineStr">
        <is>
          <t>4642-99-LE26</t>
        </is>
      </c>
      <c r="B254" s="13" t="inlineStr">
        <is>
          <t>PROVISIÓN E INSTALACIÓN DE PUERTAS ABATIBLES EN LAS DEPENDENCIAS DEL HOSPITAL DE CARABINEROS.</t>
        </is>
      </c>
      <c r="C254" s="11" t="n">
        <v>8</v>
      </c>
      <c r="D254" s="13" t="inlineStr">
        <is>
          <t>solo mencion de inmueble, sin servicio inmobiliario</t>
        </is>
      </c>
    </row>
    <row r="255">
      <c r="A255" s="11" t="inlineStr">
        <is>
          <t>4644-5-LP26</t>
        </is>
      </c>
      <c r="B255" s="13" t="inlineStr">
        <is>
          <t>TRANSPORTE-CONTRATISTAS Y ARRIENDO MAQ FORESTAL</t>
        </is>
      </c>
      <c r="C255" s="11" t="n">
        <v>0</v>
      </c>
      <c r="D255" s="13" t="inlineStr">
        <is>
          <t>score 0 &lt; 30</t>
        </is>
      </c>
    </row>
    <row r="256">
      <c r="A256" s="11" t="inlineStr">
        <is>
          <t>4778-18-LE26</t>
        </is>
      </c>
      <c r="B256" s="13" t="inlineStr">
        <is>
          <t xml:space="preserve">MANT.CORRECTIVO DEPENDENCIAS  DE U. CIRUGIA MENOR </t>
        </is>
      </c>
      <c r="C256" s="11" t="n">
        <v>8</v>
      </c>
      <c r="D256" s="13" t="inlineStr">
        <is>
          <t>solo mencion de inmueble, sin servicio inmobiliario</t>
        </is>
      </c>
    </row>
    <row r="257">
      <c r="A257" s="11" t="inlineStr">
        <is>
          <t>4829-43-L126</t>
        </is>
      </c>
      <c r="B257" s="13" t="inlineStr">
        <is>
          <t>SERV DE ACTUALIZACION ACTIVO FIJO E INVENTARIO.</t>
        </is>
      </c>
      <c r="C257" s="11" t="n">
        <v>13</v>
      </c>
      <c r="D257" s="13" t="inlineStr">
        <is>
          <t>score 13 &lt; 30</t>
        </is>
      </c>
    </row>
    <row r="258">
      <c r="A258" s="11" t="inlineStr">
        <is>
          <t>4850-3-LE26</t>
        </is>
      </c>
      <c r="B258" s="13" t="inlineStr">
        <is>
          <t>Servicio para reparación edificio</t>
        </is>
      </c>
      <c r="C258" s="11" t="n">
        <v>8</v>
      </c>
      <c r="D258" s="13" t="inlineStr">
        <is>
          <t>solo mencion de inmueble, sin servicio inmobiliario</t>
        </is>
      </c>
    </row>
    <row r="259">
      <c r="A259" s="11" t="inlineStr">
        <is>
          <t>4887-22-L126</t>
        </is>
      </c>
      <c r="B259" s="13" t="inlineStr">
        <is>
          <t>Obras menores de habilitación para el Centro de Creación Temuco</t>
        </is>
      </c>
      <c r="C259" s="11" t="n">
        <v>8</v>
      </c>
      <c r="D259" s="13" t="inlineStr">
        <is>
          <t>score 8 &lt; 30</t>
        </is>
      </c>
    </row>
    <row r="260">
      <c r="A260" s="11" t="inlineStr">
        <is>
          <t>4920-12-LE26</t>
        </is>
      </c>
      <c r="B260" s="13" t="inlineStr">
        <is>
          <t>RECAMBIO DE CUBIERTA EDIFICIO DEPARTAMENTO DE SALUD COMUNA DE ROMERAL</t>
        </is>
      </c>
      <c r="C260" s="11" t="n">
        <v>8</v>
      </c>
      <c r="D260" s="13" t="inlineStr">
        <is>
          <t>solo mencion de inmueble, sin servicio inmobiliario</t>
        </is>
      </c>
    </row>
    <row r="261">
      <c r="A261" s="11" t="inlineStr">
        <is>
          <t>4928-21-LP26</t>
        </is>
      </c>
      <c r="B261" s="13" t="inlineStr">
        <is>
          <t xml:space="preserve">CONTRATACIÓN DE MANTENCIÓN CORRECTIVA Y TRASLADO GG.EE. </t>
        </is>
      </c>
      <c r="C261" s="11" t="n">
        <v>0</v>
      </c>
      <c r="D261" s="13" t="inlineStr">
        <is>
          <t>score 0 &lt; 30</t>
        </is>
      </c>
    </row>
    <row r="262">
      <c r="A262" s="11" t="inlineStr">
        <is>
          <t>4956-63-LP26</t>
        </is>
      </c>
      <c r="B262" s="13" t="inlineStr">
        <is>
          <t>CONSTRUCCIÓN SEDE SOCIAL LO BOZA</t>
        </is>
      </c>
      <c r="C262" s="11" t="n">
        <v>8</v>
      </c>
      <c r="D262" s="13" t="inlineStr">
        <is>
          <t>solo mencion de inmueble, sin servicio inmobiliario</t>
        </is>
      </c>
    </row>
    <row r="263">
      <c r="A263" s="11" t="inlineStr">
        <is>
          <t>4956-68-LP26</t>
        </is>
      </c>
      <c r="B263" s="13" t="inlineStr">
        <is>
          <t>REHABILITACIÓN LADERA SUR PONIENTE DEL CERRO COLOR</t>
        </is>
      </c>
      <c r="C263" s="11" t="n">
        <v>0</v>
      </c>
      <c r="D263" s="13" t="inlineStr">
        <is>
          <t>score 0 &lt; 30</t>
        </is>
      </c>
    </row>
    <row r="264">
      <c r="A264" s="11" t="inlineStr">
        <is>
          <t>4967-7-LR26</t>
        </is>
      </c>
      <c r="B264" s="13" t="inlineStr">
        <is>
          <t>CONVENIO DE SUMINISTRO DE SUTURAS ENERGIZADAS + CONSOLAS EN COMODATO</t>
        </is>
      </c>
      <c r="C264" s="11" t="n">
        <v>0</v>
      </c>
      <c r="D264" s="13" t="inlineStr">
        <is>
          <t>score 0 &lt; 30</t>
        </is>
      </c>
    </row>
    <row r="265">
      <c r="A265" s="11" t="inlineStr">
        <is>
          <t>5048-13-O126</t>
        </is>
      </c>
      <c r="B265" s="13" t="inlineStr">
        <is>
          <t>MEJ ESTERO CHAMIL - TRES VENTANAS, REGION DE LOS RIOS</t>
        </is>
      </c>
      <c r="C265" s="11" t="n">
        <v>0</v>
      </c>
      <c r="D265" s="13" t="inlineStr">
        <is>
          <t>score 0 &lt; 30</t>
        </is>
      </c>
    </row>
    <row r="266">
      <c r="A266" s="11" t="inlineStr">
        <is>
          <t>5056-102-LP26</t>
        </is>
      </c>
      <c r="B266" s="13" t="inlineStr">
        <is>
          <t>ARRIENDO DE EQUIPOS NO INVASIVOS PARA CARDIOLOGÍA AMBULATORIA</t>
        </is>
      </c>
      <c r="C266" s="11" t="n">
        <v>0</v>
      </c>
      <c r="D266" s="13" t="inlineStr">
        <is>
          <t>score 0 &lt; 30</t>
        </is>
      </c>
    </row>
    <row r="267">
      <c r="A267" s="11" t="inlineStr">
        <is>
          <t>507428-94-LE26</t>
        </is>
      </c>
      <c r="B267" s="13" t="inlineStr">
        <is>
          <t>ADQUISICIÓN DE EQUIPAMIENTO DE TERAPIA FÍSICA PARA REHABILITACIÓN NHA</t>
        </is>
      </c>
      <c r="C267" s="11" t="n">
        <v>0</v>
      </c>
      <c r="D267" s="13" t="inlineStr">
        <is>
          <t>score 0 &lt; 30</t>
        </is>
      </c>
    </row>
    <row r="268">
      <c r="A268" s="11" t="inlineStr">
        <is>
          <t>5194-4-LE26</t>
        </is>
      </c>
      <c r="B268" s="13" t="inlineStr">
        <is>
          <t>Mejora y Habilitación Cancha Futbolito Colina I</t>
        </is>
      </c>
      <c r="C268" s="11" t="n">
        <v>0</v>
      </c>
      <c r="D268" s="13" t="inlineStr">
        <is>
          <t>score 0 &lt; 30</t>
        </is>
      </c>
    </row>
    <row r="269">
      <c r="A269" s="11" t="inlineStr">
        <is>
          <t>5240-90-LR26</t>
        </is>
      </c>
      <c r="B269" s="13" t="inlineStr">
        <is>
          <t>SERVICIO DE EMBALAJE MUDANZA Y TRANSPORTE</t>
        </is>
      </c>
      <c r="C269" s="11" t="n">
        <v>0</v>
      </c>
      <c r="D269" s="13" t="inlineStr">
        <is>
          <t>score 0 &lt; 30</t>
        </is>
      </c>
    </row>
    <row r="270">
      <c r="A270" s="11" t="inlineStr">
        <is>
          <t>5240-91-LE26</t>
        </is>
      </c>
      <c r="B270" s="13" t="inlineStr">
        <is>
          <t>CONTRATACIÓN DEL SERVICIO DE MANTENCIÓN REPARACIÓN Y MEJORAMIENTO DE LAS DEPENDENCIAS DEL GRUPO DE ESPECIALIDADES</t>
        </is>
      </c>
      <c r="C270" s="11" t="n">
        <v>8</v>
      </c>
      <c r="D270" s="13" t="inlineStr">
        <is>
          <t>solo mencion de inmueble, sin servicio inmobiliario</t>
        </is>
      </c>
    </row>
    <row r="271">
      <c r="A271" s="11" t="inlineStr">
        <is>
          <t>525512-33-LE26</t>
        </is>
      </c>
      <c r="B271" s="13" t="inlineStr">
        <is>
          <t>Diseño proyecto construcción sede social JJVV</t>
        </is>
      </c>
      <c r="C271" s="11" t="n">
        <v>8</v>
      </c>
      <c r="D271" s="13" t="inlineStr">
        <is>
          <t>solo mencion de inmueble, sin servicio inmobiliario</t>
        </is>
      </c>
    </row>
    <row r="272">
      <c r="A272" s="11" t="inlineStr">
        <is>
          <t>528208-35-LP26</t>
        </is>
      </c>
      <c r="B272" s="13" t="inlineStr">
        <is>
          <t>HABILITACIÓN DE CRUCE SEMAFORIZADO EN CALLES SALVADOR GUTIÉRREZ - RESBALÓN - FANALOZA</t>
        </is>
      </c>
      <c r="C272" s="11" t="n">
        <v>0</v>
      </c>
      <c r="D272" s="13" t="inlineStr">
        <is>
          <t>score 0 &lt; 30</t>
        </is>
      </c>
    </row>
    <row r="273">
      <c r="A273" s="11" t="inlineStr">
        <is>
          <t>5300-50-LP26</t>
        </is>
      </c>
      <c r="B273" s="13" t="inlineStr">
        <is>
          <t xml:space="preserve">CONSTRUCCION SEDE SOCIAL LO OVALLE </t>
        </is>
      </c>
      <c r="C273" s="11" t="n">
        <v>8</v>
      </c>
      <c r="D273" s="13" t="inlineStr">
        <is>
          <t>solo mencion de inmueble, sin servicio inmobiliario</t>
        </is>
      </c>
    </row>
    <row r="274">
      <c r="A274" s="11" t="inlineStr">
        <is>
          <t>5300-54-LP26</t>
        </is>
      </c>
      <c r="B274" s="13" t="inlineStr">
        <is>
          <t>Construcción SS.HH. Estadio Municipal de Casablanca Código BIP 40077656-0</t>
        </is>
      </c>
      <c r="C274" s="11" t="n">
        <v>5</v>
      </c>
      <c r="D274" s="13" t="inlineStr">
        <is>
          <t>solo mencion de inmueble, sin servicio inmobiliario</t>
        </is>
      </c>
    </row>
    <row r="275">
      <c r="A275" s="11" t="inlineStr">
        <is>
          <t>5349-90-LR26</t>
        </is>
      </c>
      <c r="B275" s="13" t="inlineStr">
        <is>
          <t>SERVICIOS DE TRANSPORTE INTERURBANO DE LOCOMOCIÓN COLECTIVA PARA TRASLADO DE PACIENTES Y FUNCIONARIOS DEL HOSPITAL</t>
        </is>
      </c>
      <c r="C275" s="11" t="n">
        <v>0</v>
      </c>
      <c r="D275" s="13" t="inlineStr">
        <is>
          <t>score 0 &lt; 30</t>
        </is>
      </c>
    </row>
    <row r="276">
      <c r="A276" s="11" t="inlineStr">
        <is>
          <t>539119-80-LP26</t>
        </is>
      </c>
      <c r="B276" s="13" t="inlineStr">
        <is>
          <t>CONTRATACIÓN DE SERVICIOS DE EMERGENCIAS SANITARIAS REPARACIÓN YO REPOSICIÓN DE REDES DE ALCANTARILLADO AGUA POTABLE Y REDES DE GAS EN INMUEBLES UBICADOS EN LA REGIÓN METROPOLITANA DEPENDIENTE DE LA DIRECCIÓN DE BIENESTAR DE CARABINEROS</t>
        </is>
      </c>
      <c r="C276" s="11" t="n">
        <v>14</v>
      </c>
      <c r="D276" s="13" t="inlineStr">
        <is>
          <t>solo mencion de inmueble, sin servicio inmobiliario</t>
        </is>
      </c>
    </row>
    <row r="277">
      <c r="A277" s="11" t="inlineStr">
        <is>
          <t>539119-81-LE26</t>
        </is>
      </c>
      <c r="B277" s="13" t="inlineStr">
        <is>
          <t>REPARACIÓN E IMPERMEABILIZACIÓN DE CUBIERTA DEL EDIFICIO NORAMBUENA ADMINISTRADO POR LA DIRECCIÓN DE BIENESTAR DE CARABINEROS</t>
        </is>
      </c>
      <c r="C277" s="11" t="n">
        <v>8</v>
      </c>
      <c r="D277" s="13" t="inlineStr">
        <is>
          <t>solo mencion de inmueble, sin servicio inmobiliario</t>
        </is>
      </c>
    </row>
    <row r="278">
      <c r="A278" s="11" t="inlineStr">
        <is>
          <t>539119-85-LP26</t>
        </is>
      </c>
      <c r="B278" s="13" t="inlineStr">
        <is>
          <t>SUMINISTRO POR LÍNEA DE ARTÍCULOS DE ESCRITORIO Y MATERIALES PEDAGÓGICOS PARA JARDINES INFANTILES ADMINISTRADOS POR EL DEPARTAMENTO DE PLANIFICACIÓN Y DESARROLLO SOCIAL B.6 DE LA DIRECCIÓN DE BIENESTAR DE CARABINEROS POR UN PERIODO 12 MESES.</t>
        </is>
      </c>
      <c r="C278" s="11" t="n">
        <v>5</v>
      </c>
      <c r="D278" s="13" t="inlineStr">
        <is>
          <t>solo mencion de inmueble, sin servicio inmobiliario</t>
        </is>
      </c>
    </row>
    <row r="279">
      <c r="A279" s="11" t="inlineStr">
        <is>
          <t>539119-86-LE26</t>
        </is>
      </c>
      <c r="B279" s="13" t="inlineStr">
        <is>
          <t>ADQUISICIÓN DE AMENIDADES PARA EL HOTEL TRIZANO UBICADO EN LA COMUNA DE ÑUÑOA ADMINISTRADO POR EL DEPARTAMENTO RECREACIONAL Y GASTRONÓMICO B.1 DE LA DIRECCIÓN DE BIENESTAR DE CARABINEROS</t>
        </is>
      </c>
      <c r="C279" s="11" t="n">
        <v>5</v>
      </c>
      <c r="D279" s="13" t="inlineStr">
        <is>
          <t>solo mencion de inmueble, sin servicio inmobiliario</t>
        </is>
      </c>
    </row>
    <row r="280">
      <c r="A280" s="11" t="inlineStr">
        <is>
          <t>5413-65-LE26</t>
        </is>
      </c>
      <c r="B280" s="13" t="inlineStr">
        <is>
          <t>SERVICIO DE TRASLADO DE ESTURIONES COYHAIQUE</t>
        </is>
      </c>
      <c r="C280" s="11" t="n">
        <v>0</v>
      </c>
      <c r="D280" s="13" t="inlineStr">
        <is>
          <t>score 0 &lt; 30</t>
        </is>
      </c>
    </row>
    <row r="281">
      <c r="A281" s="11" t="inlineStr">
        <is>
          <t>5413-67-LE26</t>
        </is>
      </c>
      <c r="B281" s="13" t="inlineStr">
        <is>
          <t>REPARACIÓN DE FACHADAS EDIFICIOS CAMPUS CHUYACA</t>
        </is>
      </c>
      <c r="C281" s="11" t="n">
        <v>8</v>
      </c>
      <c r="D281" s="13" t="inlineStr">
        <is>
          <t>solo mencion de inmueble, sin servicio inmobiliario</t>
        </is>
      </c>
    </row>
    <row r="282">
      <c r="A282" s="11" t="inlineStr">
        <is>
          <t>5420-20-LE26</t>
        </is>
      </c>
      <c r="B282" s="13" t="inlineStr">
        <is>
          <t>Diseño eléctrico para normalización de edificios</t>
        </is>
      </c>
      <c r="C282" s="11" t="n">
        <v>8</v>
      </c>
      <c r="D282" s="13" t="inlineStr">
        <is>
          <t>solo mencion de inmueble, sin servicio inmobiliario</t>
        </is>
      </c>
    </row>
    <row r="283">
      <c r="A283" s="11" t="inlineStr">
        <is>
          <t>548874-70-LR26</t>
        </is>
      </c>
      <c r="B283" s="13" t="inlineStr">
        <is>
          <t>SERV MULTIBAM SUCURSALES Y GOBIERNOS EN TERRENO</t>
        </is>
      </c>
      <c r="C283" s="11" t="n">
        <v>9</v>
      </c>
      <c r="D283" s="13" t="inlineStr">
        <is>
          <t>solo mencion de inmueble, sin servicio inmobiliario</t>
        </is>
      </c>
    </row>
    <row r="284">
      <c r="A284" s="11" t="inlineStr">
        <is>
          <t>5520-75-LP26</t>
        </is>
      </c>
      <c r="B284" s="13" t="inlineStr">
        <is>
          <t>Traslado Pasajeros Minera Collahuasi</t>
        </is>
      </c>
      <c r="C284" s="11" t="n">
        <v>0</v>
      </c>
      <c r="D284" s="13" t="inlineStr">
        <is>
          <t>score 0 &lt; 30</t>
        </is>
      </c>
    </row>
    <row r="285">
      <c r="A285" s="11" t="inlineStr">
        <is>
          <t>5558-5-L126</t>
        </is>
      </c>
      <c r="B285" s="13" t="inlineStr">
        <is>
          <t>SERVICIO DE IMPLEMENTACIÓN PUNTO VERDE Y SERVICIO DE RECICLAJE PARA DEPENDENCIAS DEL INSTITUTO DE SEGURIDAD LABORAL EN LA REGIÓN DE LA ARAUCANÍA</t>
        </is>
      </c>
      <c r="C285" s="11" t="n">
        <v>8</v>
      </c>
      <c r="D285" s="13" t="inlineStr">
        <is>
          <t>solo mencion de inmueble, sin servicio inmobiliario</t>
        </is>
      </c>
    </row>
    <row r="286">
      <c r="A286" s="11" t="inlineStr">
        <is>
          <t>557639-74-LE26</t>
        </is>
      </c>
      <c r="B286" s="13" t="inlineStr">
        <is>
          <t>PODA PARA TRES RECINTOS EDUCACIONALES CORMUN</t>
        </is>
      </c>
      <c r="C286" s="11" t="n">
        <v>5</v>
      </c>
      <c r="D286" s="13" t="inlineStr">
        <is>
          <t>solo mencion de inmueble, sin servicio inmobiliario</t>
        </is>
      </c>
    </row>
    <row r="287">
      <c r="A287" s="11" t="inlineStr">
        <is>
          <t>5586-126-LE26</t>
        </is>
      </c>
      <c r="B287" s="13" t="inlineStr">
        <is>
          <t>JG REMODELACIÓN DEPARTAMENTO DE CIRUGÍA 4º PISO EDIFICIO S</t>
        </is>
      </c>
      <c r="C287" s="11" t="n">
        <v>8</v>
      </c>
      <c r="D287" s="13" t="inlineStr">
        <is>
          <t>solo mencion de inmueble, sin servicio inmobiliario</t>
        </is>
      </c>
    </row>
    <row r="288">
      <c r="A288" s="11" t="inlineStr">
        <is>
          <t>568658-43-LR26</t>
        </is>
      </c>
      <c r="B288" s="13" t="inlineStr">
        <is>
          <t xml:space="preserve">COMODATO DE EQUIPAMIENTO MICROBIOLOGIA </t>
        </is>
      </c>
      <c r="C288" s="11" t="n">
        <v>0</v>
      </c>
      <c r="D288" s="13" t="inlineStr">
        <is>
          <t>score 0 &lt; 30</t>
        </is>
      </c>
    </row>
    <row r="289">
      <c r="A289" s="11" t="inlineStr">
        <is>
          <t>575924-9-E226</t>
        </is>
      </c>
      <c r="B289" s="13" t="inlineStr">
        <is>
          <t>CAJTA-ARRIENDO DE SALONES PARA ENCUENTROS REGIONAL</t>
        </is>
      </c>
      <c r="C289" s="11" t="n">
        <v>0</v>
      </c>
      <c r="D289" s="13" t="inlineStr">
        <is>
          <t>score 0 &lt; 30</t>
        </is>
      </c>
    </row>
    <row r="290">
      <c r="A290" s="11" t="inlineStr">
        <is>
          <t>607-67-O126</t>
        </is>
      </c>
      <c r="B290" s="13" t="inlineStr">
        <is>
          <t>HABILITACIÓN ESTACIÓN FUNICULAR Y CENTRO DE EXPERIENCIA</t>
        </is>
      </c>
      <c r="C290" s="11" t="n">
        <v>0</v>
      </c>
      <c r="D290" s="13" t="inlineStr">
        <is>
          <t>score 0 &lt; 30</t>
        </is>
      </c>
    </row>
    <row r="291">
      <c r="A291" s="11" t="inlineStr">
        <is>
          <t>608-126-LR26</t>
        </is>
      </c>
      <c r="B291" s="13" t="inlineStr">
        <is>
          <t>SERVICIO DE ARRIENDO DE MÁQUINAS DE HEMODIÁLISIS Y MÁQUINAS DE HEMODIAFILTRACIÓN</t>
        </is>
      </c>
      <c r="C291" s="11" t="n">
        <v>0</v>
      </c>
      <c r="D291" s="13" t="inlineStr">
        <is>
          <t>score 0 &lt; 30</t>
        </is>
      </c>
    </row>
    <row r="292">
      <c r="A292" s="11" t="inlineStr">
        <is>
          <t>622-55-LE26</t>
        </is>
      </c>
      <c r="B292" s="13" t="inlineStr">
        <is>
          <t>CONFECCIÓN E IMPRESIÓN SOBRES 10X23 CON VENTANILLA</t>
        </is>
      </c>
      <c r="C292" s="11" t="n">
        <v>0</v>
      </c>
      <c r="D292" s="13" t="inlineStr">
        <is>
          <t>score 0 &lt; 30</t>
        </is>
      </c>
    </row>
    <row r="293">
      <c r="A293" s="11" t="inlineStr">
        <is>
          <t>627786-14-LE26</t>
        </is>
      </c>
      <c r="B293" s="13" t="inlineStr">
        <is>
          <t>SERVICIO CAMBIO DE PUERTAS Y VENTANAS GRUPO OVALLE</t>
        </is>
      </c>
      <c r="C293" s="11" t="n">
        <v>10</v>
      </c>
      <c r="D293" s="13" t="inlineStr">
        <is>
          <t>score 10 &lt; 30</t>
        </is>
      </c>
    </row>
    <row r="294">
      <c r="A294" s="11" t="inlineStr">
        <is>
          <t>633-48-LR26</t>
        </is>
      </c>
      <c r="B294" s="13" t="inlineStr">
        <is>
          <t>SERVICIO DE VENTA DE ENTRADAS PARA ÁREAS PROTEGIDAS AP ADMINISTRADAS POR LA CORPORACIÓN NACIONAL FORESTAL CONAF</t>
        </is>
      </c>
      <c r="C294" s="11" t="n">
        <v>0</v>
      </c>
      <c r="D294" s="13" t="inlineStr">
        <is>
          <t>score 0 &lt; 30</t>
        </is>
      </c>
    </row>
    <row r="295">
      <c r="A295" s="11" t="inlineStr">
        <is>
          <t>634-82-LE26</t>
        </is>
      </c>
      <c r="B295" s="13" t="inlineStr">
        <is>
          <t>REACTIVOS QUÍMICOS PARA EL DEPARTAMENTO DE SEGURI</t>
        </is>
      </c>
      <c r="C295" s="11" t="n">
        <v>5</v>
      </c>
      <c r="D295" s="13" t="inlineStr">
        <is>
          <t>solo mencion de inmueble, sin servicio inmobiliario</t>
        </is>
      </c>
    </row>
    <row r="296">
      <c r="A296" s="11" t="inlineStr">
        <is>
          <t>638-14-O126</t>
        </is>
      </c>
      <c r="B296" s="13" t="inlineStr">
        <is>
          <t>CONSTRUCCIÓN EDIFICIO INSTITUCIONAL MINVU MAGALLANES Y ANTÁRTICA CHILENA</t>
        </is>
      </c>
      <c r="C296" s="11" t="n">
        <v>8</v>
      </c>
      <c r="D296" s="13" t="inlineStr">
        <is>
          <t>solo mencion de inmueble, sin servicio inmobiliario</t>
        </is>
      </c>
    </row>
    <row r="297">
      <c r="A297" s="11" t="inlineStr">
        <is>
          <t>649-8-LE26</t>
        </is>
      </c>
      <c r="B297" s="13" t="inlineStr">
        <is>
          <t>SERVICIO DE MANTENCION Y REPARACION EDIFICIO MINVU ANTOFAGASTA</t>
        </is>
      </c>
      <c r="C297" s="11" t="n">
        <v>8</v>
      </c>
      <c r="D297" s="13" t="inlineStr">
        <is>
          <t>solo mencion de inmueble, sin servicio inmobiliario</t>
        </is>
      </c>
    </row>
    <row r="298">
      <c r="A298" s="11" t="inlineStr">
        <is>
          <t>653-15-O126</t>
        </is>
      </c>
      <c r="B298" s="13" t="inlineStr">
        <is>
          <t>Habilitación de Terrenos Etapa V Lote D y E, Las Americas, Talca</t>
        </is>
      </c>
      <c r="C298" s="11" t="n">
        <v>15</v>
      </c>
      <c r="D298" s="13" t="inlineStr">
        <is>
          <t>score 15 &lt; 30</t>
        </is>
      </c>
    </row>
    <row r="299">
      <c r="A299" s="11" t="inlineStr">
        <is>
          <t>673-3-LE26</t>
        </is>
      </c>
      <c r="B299" s="13" t="inlineStr">
        <is>
          <t>SERVICIO DE MEJORAMIENTO RED SANITARIA EDIFICIO IN</t>
        </is>
      </c>
      <c r="C299" s="11" t="n">
        <v>8</v>
      </c>
      <c r="D299" s="13" t="inlineStr">
        <is>
          <t>solo mencion de inmueble, sin servicio inmobiliario</t>
        </is>
      </c>
    </row>
    <row r="300">
      <c r="A300" s="11" t="inlineStr">
        <is>
          <t>673663-20-LP26</t>
        </is>
      </c>
      <c r="B300" s="13" t="inlineStr">
        <is>
          <t>CONSTRUCCION SEDE SOCIAL EL BOSQUE COMUNA DE ANDA</t>
        </is>
      </c>
      <c r="C300" s="11" t="n">
        <v>8</v>
      </c>
      <c r="D300" s="13" t="inlineStr">
        <is>
          <t>solo mencion de inmueble, sin servicio inmobiliario</t>
        </is>
      </c>
    </row>
    <row r="301">
      <c r="A301" s="11" t="inlineStr">
        <is>
          <t>680-10-LE26</t>
        </is>
      </c>
      <c r="B301" s="13" t="inlineStr">
        <is>
          <t>Suministro e Instalación de Ventanas PVC Europeo</t>
        </is>
      </c>
      <c r="C301" s="11" t="n">
        <v>11</v>
      </c>
      <c r="D301" s="13" t="inlineStr">
        <is>
          <t>score 11 &lt; 30</t>
        </is>
      </c>
    </row>
    <row r="302">
      <c r="A302" s="11" t="inlineStr">
        <is>
          <t>681016-3-L126</t>
        </is>
      </c>
      <c r="B302" s="13" t="inlineStr">
        <is>
          <t>ADQUISICIÓN DE BIDONES DE AGUA PURIFICADA Y DISPENSADORES EN COMODATO</t>
        </is>
      </c>
      <c r="C302" s="11" t="n">
        <v>0</v>
      </c>
      <c r="D302" s="13" t="inlineStr">
        <is>
          <t>score 0 &lt; 30</t>
        </is>
      </c>
    </row>
    <row r="303">
      <c r="A303" s="11" t="inlineStr">
        <is>
          <t>682-3-LE26</t>
        </is>
      </c>
      <c r="B303" s="13" t="inlineStr">
        <is>
          <t>CONFECCIÓN E INSTALACIÓN DE VENTANAS Y PUERTAS</t>
        </is>
      </c>
      <c r="C303" s="11" t="n">
        <v>10</v>
      </c>
      <c r="D303" s="13" t="inlineStr">
        <is>
          <t>score 10 &lt; 30</t>
        </is>
      </c>
    </row>
    <row r="304">
      <c r="A304" s="11" t="inlineStr">
        <is>
          <t>697057-30-LE26</t>
        </is>
      </c>
      <c r="B304" s="13" t="inlineStr">
        <is>
          <t>HABILITACIÓN SALA EIVG FL SANTA CRUZ</t>
        </is>
      </c>
      <c r="C304" s="11" t="n">
        <v>0</v>
      </c>
      <c r="D304" s="13" t="inlineStr">
        <is>
          <t>score 0 &lt; 30</t>
        </is>
      </c>
    </row>
    <row r="305">
      <c r="A305" s="11" t="inlineStr">
        <is>
          <t>707420-20-LE26</t>
        </is>
      </c>
      <c r="B305" s="13" t="inlineStr">
        <is>
          <t>SERVICIOS DE MANTENCIÓN DE ÁREAS VERDES PARA JARDINES INFANTILES SALAS CUNA Y OFICINAS TERRITORIALES DE FUNDACIÓN INTEGRA REGIÓN DEL MAULE.</t>
        </is>
      </c>
      <c r="C305" s="11" t="n">
        <v>10</v>
      </c>
      <c r="D305" s="13" t="inlineStr">
        <is>
          <t>solo mencion de inmueble, sin servicio inmobiliario</t>
        </is>
      </c>
    </row>
    <row r="306">
      <c r="A306" s="11" t="inlineStr">
        <is>
          <t>712307-58-O126</t>
        </is>
      </c>
      <c r="B306" s="13" t="inlineStr">
        <is>
          <t>Pavimentos Participativos 35 proceso, Grupo 6, Temuco y Padre Las Casas</t>
        </is>
      </c>
      <c r="C306" s="11" t="n">
        <v>5</v>
      </c>
      <c r="D306" s="13" t="inlineStr">
        <is>
          <t>solo mencion de inmueble, sin servicio inmobiliario</t>
        </is>
      </c>
    </row>
    <row r="307">
      <c r="A307" s="11" t="inlineStr">
        <is>
          <t>731159-2-L126</t>
        </is>
      </c>
      <c r="B307" s="13" t="inlineStr">
        <is>
          <t>Servicio de traslado de personas para el 12° Juzgado de Garantía de Santiago</t>
        </is>
      </c>
      <c r="C307" s="11" t="n">
        <v>0</v>
      </c>
      <c r="D307" s="13" t="inlineStr">
        <is>
          <t>score 0 &lt; 30</t>
        </is>
      </c>
    </row>
    <row r="308">
      <c r="A308" s="11" t="inlineStr">
        <is>
          <t>732868-3-L126</t>
        </is>
      </c>
      <c r="B308" s="13" t="inlineStr">
        <is>
          <t>“Servicio de Adquisición y Distribución de Bidones de Agua purificada, entrega de dispensadores en comodato para el Juzgado de Letras del Trabajo de San Bernardo”</t>
        </is>
      </c>
      <c r="C308" s="11" t="n">
        <v>0</v>
      </c>
      <c r="D308" s="13" t="inlineStr">
        <is>
          <t>score 0 &lt; 30</t>
        </is>
      </c>
    </row>
    <row r="309">
      <c r="A309" s="11" t="inlineStr">
        <is>
          <t>742475-4-LE26</t>
        </is>
      </c>
      <c r="B309" s="13" t="inlineStr">
        <is>
          <t>Adquisición de equipos informáticos para el programa Oficina Local de la Niñez</t>
        </is>
      </c>
      <c r="C309" s="11" t="n">
        <v>10</v>
      </c>
      <c r="D309" s="13" t="inlineStr">
        <is>
          <t>solo mencion de inmueble, sin servicio inmobiliario</t>
        </is>
      </c>
    </row>
    <row r="310">
      <c r="A310" s="11" t="inlineStr">
        <is>
          <t>742-8-L126</t>
        </is>
      </c>
      <c r="B310" s="13" t="inlineStr">
        <is>
          <t>Mantención Oficina de INDAP Coyhaique, región de Aysén</t>
        </is>
      </c>
      <c r="C310" s="11" t="n">
        <v>10</v>
      </c>
      <c r="D310" s="13" t="inlineStr">
        <is>
          <t>solo mencion de inmueble, sin servicio inmobiliario</t>
        </is>
      </c>
    </row>
    <row r="311">
      <c r="A311" s="11" t="inlineStr">
        <is>
          <t>748201-10-LE26</t>
        </is>
      </c>
      <c r="B311" s="13" t="inlineStr">
        <is>
          <t>SUMINISTRO DE ESPONJA DESECHABLE  JABONOSA PARA LAS FARMACIAS DE LOS CENTROS DE SALUD Y  REHABILITACIÓN CAPREDENA</t>
        </is>
      </c>
      <c r="C311" s="11" t="n">
        <v>0</v>
      </c>
      <c r="D311" s="13" t="inlineStr">
        <is>
          <t>score 0 &lt; 30</t>
        </is>
      </c>
    </row>
    <row r="312">
      <c r="A312" s="11" t="inlineStr">
        <is>
          <t>748201-9-LP26</t>
        </is>
      </c>
      <c r="B312" s="13" t="inlineStr">
        <is>
          <t>SUMINISTRO DE MATRACES E INYECTABLES PARA LAS FARMACIAS DE LOS CENTROS DE SALUD Y REHABILITACIÓN CAPREDENA</t>
        </is>
      </c>
      <c r="C312" s="11" t="n">
        <v>0</v>
      </c>
      <c r="D312" s="13" t="inlineStr">
        <is>
          <t>score 0 &lt; 30</t>
        </is>
      </c>
    </row>
    <row r="313">
      <c r="A313" s="11" t="inlineStr">
        <is>
          <t>750998-56-LE26</t>
        </is>
      </c>
      <c r="B313" s="13" t="inlineStr">
        <is>
          <t>HABILITACIÓN SALAS CINU</t>
        </is>
      </c>
      <c r="C313" s="11" t="n">
        <v>0</v>
      </c>
      <c r="D313" s="13" t="inlineStr">
        <is>
          <t>score 0 &lt; 30</t>
        </is>
      </c>
    </row>
    <row r="314">
      <c r="A314" s="11" t="inlineStr">
        <is>
          <t>768-19-LR26</t>
        </is>
      </c>
      <c r="B314" s="13" t="inlineStr">
        <is>
          <t>REPOSICIÓN SEDE CLUB CULTURAL Y SOCIAL JORGE V</t>
        </is>
      </c>
      <c r="C314" s="11" t="n">
        <v>8</v>
      </c>
      <c r="D314" s="13" t="inlineStr">
        <is>
          <t>solo mencion de inmueble, sin servicio inmobiliario</t>
        </is>
      </c>
    </row>
    <row r="315">
      <c r="A315" s="11" t="inlineStr">
        <is>
          <t>769-84-LP26</t>
        </is>
      </c>
      <c r="B315" s="13" t="inlineStr">
        <is>
          <t>KIT DETECCIÓN VPH POR PCR Y EQUIP. COMODATO PP-88</t>
        </is>
      </c>
      <c r="C315" s="11" t="n">
        <v>0</v>
      </c>
      <c r="D315" s="13" t="inlineStr">
        <is>
          <t>score 0 &lt; 30</t>
        </is>
      </c>
    </row>
    <row r="316">
      <c r="A316" s="11" t="inlineStr">
        <is>
          <t>813685-9-LE26</t>
        </is>
      </c>
      <c r="B316" s="13" t="inlineStr">
        <is>
          <t>SERVICIO DE MANTENCIÓN PREVENTIVA A LOS EQUIPOS DE CLIMATIZACIÓN Y REFRIGERACIÓN DE LOS EDIFICIOS DEPENDIENTES DE LA DIRECCIÓN GENERAL DEL TERRITORIO MARITIMO Y DE MARINA MERCANTE</t>
        </is>
      </c>
      <c r="C316" s="11" t="n">
        <v>14</v>
      </c>
      <c r="D316" s="13" t="inlineStr">
        <is>
          <t>score 14 &lt; 30</t>
        </is>
      </c>
    </row>
    <row r="317">
      <c r="A317" s="11" t="inlineStr">
        <is>
          <t>824-3-LE26</t>
        </is>
      </c>
      <c r="B317" s="13" t="inlineStr">
        <is>
          <t>ASES. A LA CONTRAPARTE TÉCN. INVENTARIO MAULE</t>
        </is>
      </c>
      <c r="C317" s="11" t="n">
        <v>19</v>
      </c>
      <c r="D317" s="13" t="inlineStr">
        <is>
          <t>score 19 &lt; 30</t>
        </is>
      </c>
    </row>
    <row r="318">
      <c r="A318" s="11" t="inlineStr">
        <is>
          <t>829-2-O126</t>
        </is>
      </c>
      <c r="B318" s="13" t="inlineStr">
        <is>
          <t>HABILITACION Y AMPLIACION EDIFICIO GORE MAGALLANES-2DO LLAMADO</t>
        </is>
      </c>
      <c r="C318" s="11" t="n">
        <v>14</v>
      </c>
      <c r="D318" s="13" t="inlineStr">
        <is>
          <t>score 14 &lt; 30</t>
        </is>
      </c>
    </row>
    <row r="319">
      <c r="A319" s="11" t="inlineStr">
        <is>
          <t>837-88-LP26</t>
        </is>
      </c>
      <c r="B319" s="13" t="inlineStr">
        <is>
          <t>CDP422 Serv. Mantención de sistemas de renovación de Aérea y Climatización de las sedes del Servicio Médico Legal de Rancagua San Fernando Santa Cruz Puerto Montt Valdivia La Unión y Osorno de la Zona Sur.</t>
        </is>
      </c>
      <c r="C319" s="11" t="n">
        <v>8</v>
      </c>
      <c r="D319" s="13" t="inlineStr">
        <is>
          <t>solo mencion de inmueble, sin servicio inmobiliario</t>
        </is>
      </c>
    </row>
    <row r="320">
      <c r="A320" s="11" t="inlineStr">
        <is>
          <t>838100-6-L126</t>
        </is>
      </c>
      <c r="B320" s="13" t="inlineStr">
        <is>
          <t xml:space="preserve">Contratación del suministro y traslado a requerimiento de agua potable </t>
        </is>
      </c>
      <c r="C320" s="11" t="n">
        <v>0</v>
      </c>
      <c r="D320" s="13" t="inlineStr">
        <is>
          <t>score 0 &lt; 30</t>
        </is>
      </c>
    </row>
    <row r="321">
      <c r="A321" s="11" t="inlineStr">
        <is>
          <t>840405-12-LE26</t>
        </is>
      </c>
      <c r="B321" s="13" t="inlineStr">
        <is>
          <t xml:space="preserve">ADQUISICION DE MATERIALES PARA MEJORAMIENTO EDIFICIO ANEXO MUNICIPAL COMUNA DE RÍO CLARO </t>
        </is>
      </c>
      <c r="C321" s="11" t="n">
        <v>8</v>
      </c>
      <c r="D321" s="13" t="inlineStr">
        <is>
          <t>solo mencion de inmueble, sin servicio inmobiliario</t>
        </is>
      </c>
    </row>
    <row r="322">
      <c r="A322" s="11" t="inlineStr">
        <is>
          <t>845-17-LR26</t>
        </is>
      </c>
      <c r="B322" s="13" t="inlineStr">
        <is>
          <t>SERVICIO DE MANTENCIÓN DE EDIFICACIONES JUNJI</t>
        </is>
      </c>
      <c r="C322" s="11" t="n">
        <v>8</v>
      </c>
      <c r="D322" s="13" t="inlineStr">
        <is>
          <t>solo mencion de inmueble, sin servicio inmobiliario</t>
        </is>
      </c>
    </row>
    <row r="323">
      <c r="A323" s="11" t="inlineStr">
        <is>
          <t>854-28-LE26</t>
        </is>
      </c>
      <c r="B323" s="13" t="inlineStr">
        <is>
          <t>ARRIENDO ESPACIO RADIAL JARDIN DISTANCIA JUNJI XI.</t>
        </is>
      </c>
      <c r="C323" s="11" t="n">
        <v>0</v>
      </c>
      <c r="D323" s="13" t="inlineStr">
        <is>
          <t>score 0 &lt; 30</t>
        </is>
      </c>
    </row>
    <row r="324">
      <c r="A324" s="11" t="inlineStr">
        <is>
          <t>867990-59-L126</t>
        </is>
      </c>
      <c r="B324" s="13" t="inlineStr">
        <is>
          <t>cc 102 - sol 91975 servicio de mantenimiento del sistema de calefacción central con visita a terreno</t>
        </is>
      </c>
      <c r="C324" s="11" t="n">
        <v>9</v>
      </c>
      <c r="D324" s="13" t="inlineStr">
        <is>
          <t>solo mencion de inmueble, sin servicio inmobiliario</t>
        </is>
      </c>
    </row>
    <row r="325">
      <c r="A325" s="11" t="inlineStr">
        <is>
          <t>867990-84-L126</t>
        </is>
      </c>
      <c r="B325" s="13" t="inlineStr">
        <is>
          <t>CDP 92718 CC102 Ejecución del “26-TE-OF-SELLOS BAJO CANALETAS DIMEC, EDIFICIO 710, FACULTAD DE INGENIERÍA”</t>
        </is>
      </c>
      <c r="C325" s="11" t="n">
        <v>8</v>
      </c>
      <c r="D325" s="13" t="inlineStr">
        <is>
          <t>solo mencion de inmueble, sin servicio inmobiliario</t>
        </is>
      </c>
    </row>
    <row r="326">
      <c r="A326" s="11" t="inlineStr">
        <is>
          <t>875646-67-LE26</t>
        </is>
      </c>
      <c r="B326" s="13" t="inlineStr">
        <is>
          <t>SERVICIO DE ARRIENDO DE BRONCOSCOPIO RIGIDO POR 3 MESES</t>
        </is>
      </c>
      <c r="C326" s="11" t="n">
        <v>0</v>
      </c>
      <c r="D326" s="13" t="inlineStr">
        <is>
          <t>score 0 &lt; 30</t>
        </is>
      </c>
    </row>
    <row r="327">
      <c r="A327" s="11" t="inlineStr">
        <is>
          <t>886954-222-LR26</t>
        </is>
      </c>
      <c r="B327" s="13" t="inlineStr">
        <is>
          <t>CONVENIO DE SUMINISTRO DE CIRCUITOS Y CANULAS DE ALTO FLUJO NASAL CON EQUIPOS EN COMODATO PARA HGGB</t>
        </is>
      </c>
      <c r="C327" s="11" t="n">
        <v>0</v>
      </c>
      <c r="D327" s="13" t="inlineStr">
        <is>
          <t>score 0 &lt; 30</t>
        </is>
      </c>
    </row>
    <row r="328">
      <c r="A328" s="11" t="inlineStr">
        <is>
          <t>886954-230-LP26</t>
        </is>
      </c>
      <c r="B328" s="13" t="inlineStr">
        <is>
          <t>Convenio anual en consignación de dispositivo de asistencia ventricular izquierda de uso percutáneo para la Unidad de Hemodinamia del HGG con equipo en comodato</t>
        </is>
      </c>
      <c r="C328" s="11" t="n">
        <v>0</v>
      </c>
      <c r="D328" s="13" t="inlineStr">
        <is>
          <t>score 0 &lt; 30</t>
        </is>
      </c>
    </row>
    <row r="329">
      <c r="A329" s="11" t="inlineStr">
        <is>
          <t>886954-262-LP26</t>
        </is>
      </c>
      <c r="B329" s="13" t="inlineStr">
        <is>
          <t>Convenio suministro anual de Dispositivo de embolización intrasacular con equipo en comodato para la Unidad de Neurovascular del HGGB</t>
        </is>
      </c>
      <c r="C329" s="11" t="n">
        <v>0</v>
      </c>
      <c r="D329" s="13" t="inlineStr">
        <is>
          <t>score 0 &lt; 30</t>
        </is>
      </c>
    </row>
    <row r="330">
      <c r="A330" s="11" t="inlineStr">
        <is>
          <t>886954-297-LP26</t>
        </is>
      </c>
      <c r="B330" s="13" t="inlineStr">
        <is>
          <t>Convenio anual Maleta en tránsito de Set de Ablación con equipo en comodato para la Unidad de Electrofisiología del HGGB</t>
        </is>
      </c>
      <c r="C330" s="11" t="n">
        <v>0</v>
      </c>
      <c r="D330" s="13" t="inlineStr">
        <is>
          <t>score 0 &lt; 30</t>
        </is>
      </c>
    </row>
    <row r="331">
      <c r="A331" s="11" t="inlineStr">
        <is>
          <t>929-23-L126</t>
        </is>
      </c>
      <c r="B331" s="13" t="inlineStr">
        <is>
          <t>Mantenimiento de Instalaciones y Equipos Eléctricos, Oficinas DRM</t>
        </is>
      </c>
      <c r="C331" s="11" t="n">
        <v>10</v>
      </c>
      <c r="D331" s="13" t="inlineStr">
        <is>
          <t>solo mencion de inmueble, sin servicio inmobiliario</t>
        </is>
      </c>
    </row>
    <row r="332">
      <c r="A332" s="11" t="inlineStr">
        <is>
          <t>930-20-LE26</t>
        </is>
      </c>
      <c r="B332" s="13" t="inlineStr">
        <is>
          <t>MANTENCIÓN GENERAL RECINTOS DEPORTIVOS IND AFTA.</t>
        </is>
      </c>
      <c r="C332" s="11" t="n">
        <v>5</v>
      </c>
      <c r="D332" s="13" t="inlineStr">
        <is>
          <t>solo mencion de inmueble, sin servicio inmobiliario</t>
        </is>
      </c>
    </row>
    <row r="333">
      <c r="A333" s="11" t="inlineStr">
        <is>
          <t>931-25-LE26</t>
        </is>
      </c>
      <c r="B333" s="13" t="inlineStr">
        <is>
          <t>SERVICIOS DE REPARACIÓN DE TECHUMBRE Y SISTEMA DE AGUAS LLUVIAS – CASA DEL DEPORTISTA VICUÑA</t>
        </is>
      </c>
      <c r="C333" s="11" t="n">
        <v>5</v>
      </c>
      <c r="D333" s="13" t="inlineStr">
        <is>
          <t>solo mencion de inmueble, sin servicio inmobiliario</t>
        </is>
      </c>
    </row>
    <row r="334">
      <c r="A334" s="11" t="inlineStr">
        <is>
          <t>932-24-LE26</t>
        </is>
      </c>
      <c r="B334" s="13" t="inlineStr">
        <is>
          <t>CONTRATACION CONVENIO DE SUMINISTRO 2026-2028 “SERVICIO DE MANTENCIÓN PREVENTIVA Y CORRECTIVA DE MAQUINAS DE EJERCICIOS CARDIOVASCULARES Y DE MUSCULACIÓN MULTIMARCAS” RECINTOS DEPORTIVOS HERMOGENES LIZANA DEL INSTITUTO NACIONAL DE DEPORTES DE CHILE REGIO</t>
        </is>
      </c>
      <c r="C334" s="11" t="n">
        <v>5</v>
      </c>
      <c r="D334" s="13" t="inlineStr">
        <is>
          <t>solo mencion de inmueble, sin servicio inmobiliario</t>
        </is>
      </c>
    </row>
    <row r="335">
      <c r="A335" s="11" t="inlineStr">
        <is>
          <t>956-57-L126</t>
        </is>
      </c>
      <c r="B335" s="13" t="inlineStr">
        <is>
          <t>servicio para atención de niños, niñas y adolescentes con trastorno del espectro autista (Casablanca)</t>
        </is>
      </c>
      <c r="C335" s="11" t="n">
        <v>11</v>
      </c>
      <c r="D335" s="13" t="inlineStr">
        <is>
          <t>score 11 &lt; 30</t>
        </is>
      </c>
    </row>
    <row r="336">
      <c r="A336" s="11" t="inlineStr">
        <is>
          <t>956-58-LE26</t>
        </is>
      </c>
      <c r="B336" s="13" t="inlineStr">
        <is>
          <t>Adquisición Canalización Configuración Instalación y Puesta en Marcha de 16 Access Point en dependencias del nuevo Hospital Claudio Vicuña de San Antonio</t>
        </is>
      </c>
      <c r="C336" s="11" t="n">
        <v>8</v>
      </c>
      <c r="D336" s="13" t="inlineStr">
        <is>
          <t>solo mencion de inmueble, sin servicio inmobiliario</t>
        </is>
      </c>
    </row>
    <row r="337">
      <c r="A337" s="11" t="inlineStr">
        <is>
          <t>957865-6-LE26</t>
        </is>
      </c>
      <c r="B337" s="13" t="inlineStr">
        <is>
          <t>SERV.DE ALMACENAJE TRASLADO Y CUSTODIA DE CAJAS</t>
        </is>
      </c>
      <c r="C337" s="11" t="n">
        <v>0</v>
      </c>
      <c r="D337" s="13" t="inlineStr">
        <is>
          <t>score 0 &lt; 30</t>
        </is>
      </c>
    </row>
    <row r="338">
      <c r="A338" s="11" t="inlineStr">
        <is>
          <t>975-12-O126</t>
        </is>
      </c>
      <c r="B338" s="13" t="inlineStr">
        <is>
          <t>Plan Maestro de Evacuación y Drenaje de Aguas Lluvias de Buin y Paine, RM.</t>
        </is>
      </c>
      <c r="C338" s="11" t="n">
        <v>16</v>
      </c>
      <c r="D338" s="13" t="inlineStr">
        <is>
          <t>score 16 &lt; 30</t>
        </is>
      </c>
    </row>
    <row r="339">
      <c r="A339" s="11" t="inlineStr">
        <is>
          <t>976-14-LP26</t>
        </is>
      </c>
      <c r="B339" s="13" t="inlineStr">
        <is>
          <t>“SERVICIO DE REFORESTACION POR HABILITACIÓN INGRESO A CUARTEL SSEI DEL AEROPUERTO DE PUNTA ARENAS”</t>
        </is>
      </c>
      <c r="C339" s="11" t="n">
        <v>0</v>
      </c>
      <c r="D339" s="13" t="inlineStr">
        <is>
          <t>score 0 &lt; 30</t>
        </is>
      </c>
    </row>
    <row r="340">
      <c r="A340" s="11" t="inlineStr">
        <is>
          <t>979-49-L126</t>
        </is>
      </c>
      <c r="B340" s="13" t="inlineStr">
        <is>
          <t xml:space="preserve">Levantamiento y diseño del proyecto de normalización de la red húmeda para el recinto de Maestranza Central </t>
        </is>
      </c>
      <c r="C340" s="11" t="n">
        <v>5</v>
      </c>
      <c r="D340" s="13" t="inlineStr">
        <is>
          <t>solo mencion de inmueble, sin servicio inmobiliario</t>
        </is>
      </c>
    </row>
    <row r="341">
      <c r="A341" s="11" t="inlineStr">
        <is>
          <t>986278-16-LE26</t>
        </is>
      </c>
      <c r="B341" s="13" t="inlineStr">
        <is>
          <t>INSTALACIÓN Y CABLEADO DE ACCESS POINT EN CASA CENTRAL LAUTARO Y SEDE ANGOL CFT DE LA REGIÓN DE LA ARAUCANÍA</t>
        </is>
      </c>
      <c r="C341" s="11" t="n">
        <v>8</v>
      </c>
      <c r="D341" s="13" t="inlineStr">
        <is>
          <t>solo mencion de inmueble, sin servicio inmobiliario</t>
        </is>
      </c>
    </row>
    <row r="342">
      <c r="A342" s="11" t="inlineStr">
        <is>
          <t>993-42-LE26</t>
        </is>
      </c>
      <c r="B342" s="13" t="inlineStr">
        <is>
          <t>Servicio Reparación y Mantención Recinto Taltal</t>
        </is>
      </c>
      <c r="C342" s="11" t="n">
        <v>5</v>
      </c>
      <c r="D342" s="13" t="inlineStr">
        <is>
          <t>solo mencion de inmueble, sin servicio inmobiliario</t>
        </is>
      </c>
    </row>
    <row r="343">
      <c r="A343" s="11" t="inlineStr">
        <is>
          <t>997-32-LP26</t>
        </is>
      </c>
      <c r="B343" s="13" t="inlineStr">
        <is>
          <t>13 días de arriendo  Terminadora de  Asfalto Finisher para apoyo de los trabajos de mezcla asfáltica en  caliente que se realizarán en distintos caminos de la Provincia de Cachapoal y Colchagua perteneciente a la Dirección de Vialidad Región del Lib</t>
        </is>
      </c>
      <c r="C343" s="11" t="n">
        <v>0</v>
      </c>
      <c r="D343" s="13" t="inlineStr">
        <is>
          <t>score 0 &lt; 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2026-08-29T19:34:35Z</dcterms:created>
  <dcterms:modified xsi:type="dcterms:W3CDTF">2026-08-29T19:34:36Z</dcterms:modified>
</cp:coreProperties>
</file>