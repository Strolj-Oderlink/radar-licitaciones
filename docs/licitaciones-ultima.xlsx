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atches" sheetId="2" state="visible" r:id="rId2"/>
    <sheet name="Historico" sheetId="3" state="visible" r:id="rId3"/>
    <sheet name="Bajo umbral" sheetId="4" state="visible" r:id="rId4"/>
    <sheet name="Descartes (auditoria)" sheetId="5" state="visible" r:id="rId5"/>
  </sheets>
  <definedNames>
    <definedName name="_xlnm._FilterDatabase" localSheetId="1" hidden="1">'Matches'!$A$1:$V$4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F3B57"/>
      <sz val="15"/>
    </font>
    <font>
      <name val="Arial"/>
      <color rgb="005A6572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color rgb="005A6572"/>
      <sz val="9"/>
    </font>
    <font>
      <name val="Arial"/>
      <b val="1"/>
      <color rgb="00FFFFFF"/>
      <sz val="10"/>
    </font>
    <font>
      <name val="Arial"/>
      <b val="1"/>
      <color rgb="009AA5B1"/>
      <sz val="11"/>
    </font>
    <font>
      <name val="Arial"/>
      <b val="1"/>
      <color rgb="00A32626"/>
      <sz val="10"/>
    </font>
    <font>
      <name val="Arial"/>
      <color rgb="000563C1"/>
      <sz val="10"/>
      <u val="single"/>
    </font>
    <font>
      <name val="Arial"/>
      <b val="1"/>
      <color rgb="00B7791F"/>
      <sz val="10"/>
    </font>
  </fonts>
  <fills count="5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FFF8E6"/>
      </patternFill>
    </fill>
    <fill>
      <patternFill patternType="solid">
        <fgColor rgb="00FFF4D6"/>
      </patternFill>
    </fill>
  </fills>
  <borders count="4">
    <border>
      <left/>
      <right/>
      <top/>
      <bottom/>
      <diagonal/>
    </border>
    <border>
      <bottom style="thin">
        <color rgb="00E3E7EA"/>
      </bottom>
    </border>
    <border>
      <left/>
      <right/>
      <top/>
      <bottom style="thin">
        <color rgb="00E3E7EA"/>
      </bottom>
      <diagonal/>
    </border>
    <border>
      <bottom style="thin">
        <color rgb="00D0D5D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3" fontId="5" fillId="0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7" fillId="2" borderId="3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/>
    </xf>
    <xf numFmtId="0" fontId="9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0" fontId="8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vertical="top"/>
    </xf>
    <xf numFmtId="0" fontId="11" fillId="3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/>
    </xf>
    <xf numFmtId="0" fontId="10" fillId="3" borderId="1" applyAlignment="1" pivotButton="0" quotePrefix="0" xfId="0">
      <alignment vertical="top"/>
    </xf>
    <xf numFmtId="0" fontId="11" fillId="0" borderId="1" applyAlignment="1" pivotButton="0" quotePrefix="0" xfId="0">
      <alignment vertical="top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4295-54-LR26" TargetMode="External" Id="rId1" /><Relationship Type="http://schemas.openxmlformats.org/officeDocument/2006/relationships/hyperlink" Target="https://www.mercadopublico.cl/Procurement/Modules/RFB/DetailsAcquisition.aspx?idlicitacion=5358-9-LR26" TargetMode="External" Id="rId2" /><Relationship Type="http://schemas.openxmlformats.org/officeDocument/2006/relationships/hyperlink" Target="https://www.mercadopublico.cl/Procurement/Modules/RFB/DetailsAcquisition.aspx?idlicitacion=1063538-206-I226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4055-74-L126" TargetMode="External" Id="rId1" /><Relationship Type="http://schemas.openxmlformats.org/officeDocument/2006/relationships/hyperlink" Target="https://www.mercadopublico.cl/Procurement/Modules/RFB/DetailsAcquisition.aspx?idlicitacion=4306-34-LE26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Observatorio de licitaciones — Mercado Publico</t>
        </is>
      </c>
    </row>
    <row r="2">
      <c r="A2" s="2" t="inlineStr">
        <is>
          <t>Corrida 2026-09-18 19:14 · UF 40,959.07 · 4,540 licitaciones activas barridas</t>
        </is>
      </c>
    </row>
    <row r="4">
      <c r="A4" s="3" t="inlineStr">
        <is>
          <t>Indicador</t>
        </is>
      </c>
      <c r="B4" s="3" t="inlineStr">
        <is>
          <t>Valor</t>
        </is>
      </c>
    </row>
    <row r="5">
      <c r="A5" s="4" t="inlineStr">
        <is>
          <t>Matches totales</t>
        </is>
      </c>
      <c r="B5" s="5">
        <f>COUNTA(Matches!P2:P4)</f>
        <v/>
      </c>
    </row>
    <row r="6">
      <c r="A6" s="4" t="inlineStr">
        <is>
          <t>NUEVAS esta corrida</t>
        </is>
      </c>
      <c r="B6" s="5">
        <f>COUNTIF(Matches!A2:A4,"SI")</f>
        <v/>
      </c>
    </row>
    <row r="7">
      <c r="A7" s="4" t="inlineStr">
        <is>
          <t>Con cambios</t>
        </is>
      </c>
      <c r="B7" s="5">
        <f>COUNTIF(Matches!B2:B4,"CAMBIO*")</f>
        <v/>
      </c>
    </row>
    <row r="8">
      <c r="A8" s="4" t="inlineStr">
        <is>
          <t>Prioridad ALTA</t>
        </is>
      </c>
      <c r="B8" s="5">
        <f>COUNTIF(Matches!C2:C4,"ALTA")</f>
        <v/>
      </c>
    </row>
    <row r="9">
      <c r="A9" s="4" t="inlineStr">
        <is>
          <t>Mandatos de servicio</t>
        </is>
      </c>
      <c r="B9" s="5">
        <f>COUNTIF(Matches!E2:E4,"Mandato de SERVICIO")</f>
        <v/>
      </c>
    </row>
    <row r="10">
      <c r="A10" s="4" t="inlineStr">
        <is>
          <t>Estado busca inmueble</t>
        </is>
      </c>
      <c r="B10" s="5">
        <f>COUNTIF(Matches!E2:E4,"Estado BUSCA inmueble")</f>
        <v/>
      </c>
    </row>
    <row r="11">
      <c r="A11" s="4" t="inlineStr">
        <is>
          <t>Estado ofrece inmueble</t>
        </is>
      </c>
      <c r="B11" s="5">
        <f>COUNTIF(Matches!E2:E4,"Estado OFRECE inmueble")</f>
        <v/>
      </c>
    </row>
    <row r="12">
      <c r="A12" s="4" t="inlineStr">
        <is>
          <t>Sugeridas a Gamma</t>
        </is>
      </c>
      <c r="B12" s="5">
        <f>COUNTIF(Matches!G2:G4,"Gamma")</f>
        <v/>
      </c>
    </row>
    <row r="13">
      <c r="A13" s="4" t="inlineStr">
        <is>
          <t>Sugeridas a Realsa Brokers</t>
        </is>
      </c>
      <c r="B13" s="5">
        <f>COUNTIF(Matches!G2:G4,"Realsa Brokers")</f>
        <v/>
      </c>
    </row>
    <row r="14">
      <c r="A14" s="4" t="inlineStr">
        <is>
          <t>Cierran en &lt;= 7 dias</t>
        </is>
      </c>
      <c r="B14" s="5">
        <f>COUNTIFS(Matches!N2:N4,"&lt;=7",Matches!N2:N4,"&gt;=0")</f>
        <v/>
      </c>
    </row>
    <row r="15">
      <c r="A15" s="4" t="inlineStr">
        <is>
          <t>Monto UF agregado (publicado)</t>
        </is>
      </c>
      <c r="B15" s="5">
        <f>SUM(Matches!M2:M4)</f>
        <v/>
      </c>
    </row>
    <row r="16">
      <c r="A16" s="6" t="inlineStr">
        <is>
          <t>Marca de novedad: la columna "Nueva" vale SI cuando la licitacion no aparecia en ninguna corrida anterior; toda la fila queda con fondo verde. Fondo ambar = la licitacion ya estaba en el radar pero cambio de estado, fecha de cierre o monto (el detalle va en la columna "Novedad"). La comparacion se hace contra la hoja Historico, que acumula todas las corridas.</t>
        </is>
      </c>
    </row>
    <row r="17"/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21">
      <c r="A21" s="8" t="inlineStr">
        <is>
          <t>Umbrales aplicados: Region Metropolitana desde UF 500.0 · resto del pais desde UF 2000.0 · minimo 1 dias al cierre. Las licitaciones sin monto publicado NO se descartan: pasan marcadas como "no publicado" (Mercado Publico permite ocultar el monto estimado). Fuente: API oficial api.mercadopublico.cl. Valor UF: mindicador.cl.</t>
        </is>
      </c>
    </row>
    <row r="22"/>
    <row r="23"/>
    <row r="24"/>
  </sheetData>
  <mergeCells count="2">
    <mergeCell ref="A16:H18"/>
    <mergeCell ref="A21:H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0" customWidth="1" min="3" max="3"/>
    <col width="7" customWidth="1" min="4" max="4"/>
    <col width="22" customWidth="1" min="5" max="5"/>
    <col width="52" customWidth="1" min="6" max="6"/>
    <col width="16" customWidth="1" min="7" max="7"/>
    <col width="52" customWidth="1" min="8" max="8"/>
    <col width="34" customWidth="1" min="9" max="9"/>
    <col width="24" customWidth="1" min="10" max="10"/>
    <col width="6" customWidth="1" min="11" max="11"/>
    <col width="18" customWidth="1" min="12" max="12"/>
    <col width="12" customWidth="1" min="13" max="13"/>
    <col width="13" customWidth="1" min="14" max="14"/>
    <col width="17" customWidth="1" min="15" max="15"/>
    <col width="18" customWidth="1" min="16" max="16"/>
    <col width="46" customWidth="1" min="17" max="17"/>
    <col width="38" customWidth="1" min="18" max="18"/>
    <col width="60" customWidth="1" min="19" max="19"/>
    <col width="22" customWidth="1" min="20" max="20"/>
    <col width="26" customWidth="1" min="21" max="21"/>
    <col width="30" customWidth="1" min="22" max="22"/>
  </cols>
  <sheetData>
    <row r="1" ht="30" customHeight="1">
      <c r="A1" s="9" t="inlineStr">
        <is>
          <t>Nueva</t>
        </is>
      </c>
      <c r="B1" s="9" t="inlineStr">
        <is>
          <t>Novedad</t>
        </is>
      </c>
      <c r="C1" s="9" t="inlineStr">
        <is>
          <t>Prioridad</t>
        </is>
      </c>
      <c r="D1" s="9" t="inlineStr">
        <is>
          <t>Score</t>
        </is>
      </c>
      <c r="E1" s="9" t="inlineStr">
        <is>
          <t>Tipo de oportunidad</t>
        </is>
      </c>
      <c r="F1" s="9" t="inlineStr">
        <is>
          <t>Accion sugerida</t>
        </is>
      </c>
      <c r="G1" s="9" t="inlineStr">
        <is>
          <t>Entidad sugerida</t>
        </is>
      </c>
      <c r="H1" s="9" t="inlineStr">
        <is>
          <t>Nombre</t>
        </is>
      </c>
      <c r="I1" s="9" t="inlineStr">
        <is>
          <t>Organismo</t>
        </is>
      </c>
      <c r="J1" s="9" t="inlineStr">
        <is>
          <t>Region</t>
        </is>
      </c>
      <c r="K1" s="9" t="inlineStr">
        <is>
          <t>Tipo</t>
        </is>
      </c>
      <c r="L1" s="9" t="inlineStr">
        <is>
          <t>Monto publicado</t>
        </is>
      </c>
      <c r="M1" s="9" t="inlineStr">
        <is>
          <t>Monto UF</t>
        </is>
      </c>
      <c r="N1" s="9" t="inlineStr">
        <is>
          <t>Dias al cierre</t>
        </is>
      </c>
      <c r="O1" s="9" t="inlineStr">
        <is>
          <t>Cierre</t>
        </is>
      </c>
      <c r="P1" s="9" t="inlineStr">
        <is>
          <t>Codigo</t>
        </is>
      </c>
      <c r="Q1" s="9" t="inlineStr">
        <is>
          <t>Por que calza</t>
        </is>
      </c>
      <c r="R1" s="9" t="inlineStr">
        <is>
          <t>Razon entidad</t>
        </is>
      </c>
      <c r="S1" s="9" t="inlineStr">
        <is>
          <t>Descripcion</t>
        </is>
      </c>
      <c r="T1" s="9" t="inlineStr">
        <is>
          <t>Contacto</t>
        </is>
      </c>
      <c r="U1" s="9" t="inlineStr">
        <is>
          <t>Email contacto</t>
        </is>
      </c>
      <c r="V1" s="9" t="inlineStr">
        <is>
          <t>URL</t>
        </is>
      </c>
    </row>
    <row r="2" ht="46" customHeight="1">
      <c r="A2" s="10" t="inlineStr">
        <is>
          <t>NO</t>
        </is>
      </c>
      <c r="B2" s="11" t="inlineStr">
        <is>
          <t>VIGENTE</t>
        </is>
      </c>
      <c r="C2" s="12" t="inlineStr">
        <is>
          <t>ALTA</t>
        </is>
      </c>
      <c r="D2" s="11" t="n">
        <v>55</v>
      </c>
      <c r="E2" s="11" t="inlineStr">
        <is>
          <t>Estado OFRECE inmueble</t>
        </is>
      </c>
      <c r="F2" s="13" t="inlineStr">
        <is>
          <t>El organismo vende o concesiona un activo: oportunidad de representar comprador/operador o de asesorar el proceso. Revisar bases y valor minimo.</t>
        </is>
      </c>
      <c r="G2" s="11" t="inlineStr">
        <is>
          <t>Gamma</t>
        </is>
      </c>
      <c r="H2" s="13" t="inlineStr">
        <is>
          <t>VENTA DE TERRENOS DE PROPIEDAD MUNICIPAL LA SERENA</t>
        </is>
      </c>
      <c r="I2" s="13" t="inlineStr">
        <is>
          <t>ILUSTRE MUNICIPALIDAD DE LA SERENA</t>
        </is>
      </c>
      <c r="J2" s="11" t="inlineStr">
        <is>
          <t>Región de Coquimbo</t>
        </is>
      </c>
      <c r="K2" s="11" t="inlineStr">
        <is>
          <t>LR</t>
        </is>
      </c>
      <c r="L2" s="11" t="inlineStr">
        <is>
          <t>no publicado</t>
        </is>
      </c>
      <c r="M2" s="11" t="n"/>
      <c r="N2" s="11" t="n">
        <v>51</v>
      </c>
      <c r="O2" s="11" t="inlineStr">
        <is>
          <t>2026-10-14 15:00</t>
        </is>
      </c>
      <c r="P2" s="11" t="inlineStr">
        <is>
          <t>4295-54-LR26</t>
        </is>
      </c>
      <c r="Q2" s="13" t="inlineStr">
        <is>
          <t>objeto/titulo: terreno (+9) | transaccion: venta (+6) | UNSPSC 80131600 (+40)</t>
        </is>
      </c>
      <c r="R2" s="13" t="inlineStr">
        <is>
          <t>exige/pondera experiencia acreditable o es licitacion mayor</t>
        </is>
      </c>
      <c r="S2" s="13" t="inlineStr">
        <is>
          <t>El presente proceso tiene como objetivo, seleccionar mediante propuesta pública, al o a los compradores con quien se celebrará el contrato de compraventa de los inmuebles de propiedad municipal. Esta actuación se realiza conforme a lo establecido en el artículo 5, letra f), de la ley Nº 18.695, Orgánica Constitucional de Municipalidades, para el cumplimiento de sus funciones las municipalidades tendrán las siguientes atribuciones esenciales: “f) Adquirir y enajenar bienes muebles e inmuebles”.</t>
        </is>
      </c>
      <c r="T2" s="11" t="inlineStr">
        <is>
          <t>Dirección de Administración y Finanzas</t>
        </is>
      </c>
      <c r="U2" s="11" t="inlineStr"/>
      <c r="V2" s="14" t="inlineStr">
        <is>
          <t>Ver ficha</t>
        </is>
      </c>
    </row>
    <row r="3" ht="46" customHeight="1">
      <c r="A3" s="15" t="inlineStr">
        <is>
          <t>NO</t>
        </is>
      </c>
      <c r="B3" s="16" t="inlineStr">
        <is>
          <t>CAMBIO: monto UF 122171.0-&gt;122073.0</t>
        </is>
      </c>
      <c r="C3" s="17" t="inlineStr">
        <is>
          <t>MEDIA</t>
        </is>
      </c>
      <c r="D3" s="18" t="n">
        <v>49</v>
      </c>
      <c r="E3" s="18" t="inlineStr">
        <is>
          <t>Estado OFRECE inmueble</t>
        </is>
      </c>
      <c r="F3" s="19" t="inlineStr">
        <is>
          <t>El organismo vende o concesiona un activo: oportunidad de representar comprador/operador o de asesorar el proceso. Revisar bases y valor minimo.</t>
        </is>
      </c>
      <c r="G3" s="18" t="inlineStr">
        <is>
          <t>Gamma</t>
        </is>
      </c>
      <c r="H3" s="19" t="inlineStr">
        <is>
          <t>ADQUISICIÓN DE TERRENO PARA PROYECTO EDUCACIONAL U</t>
        </is>
      </c>
      <c r="I3" s="19" t="inlineStr">
        <is>
          <t>UNIVERSIDAD DE TARAPACA</t>
        </is>
      </c>
      <c r="J3" s="18" t="inlineStr">
        <is>
          <t>Región de Tarapacá</t>
        </is>
      </c>
      <c r="K3" s="18" t="inlineStr">
        <is>
          <t>LR</t>
        </is>
      </c>
      <c r="L3" s="18" t="inlineStr">
        <is>
          <t>CLP 5,000,000,000</t>
        </is>
      </c>
      <c r="M3" s="20" t="n">
        <v>122073</v>
      </c>
      <c r="N3" s="18" t="n">
        <v>53</v>
      </c>
      <c r="O3" s="18" t="inlineStr">
        <is>
          <t>2026-10-16 15:01</t>
        </is>
      </c>
      <c r="P3" s="18" t="inlineStr">
        <is>
          <t>5358-9-LR26</t>
        </is>
      </c>
      <c r="Q3" s="19" t="inlineStr">
        <is>
          <t>objeto/titulo: terreno (+9) | UNSPSC 80131600 (+40)</t>
        </is>
      </c>
      <c r="R3" s="19" t="inlineStr">
        <is>
          <t>exige/pondera experiencia acreditable o es licitacion mayor</t>
        </is>
      </c>
      <c r="S3" s="19" t="inlineStr">
        <is>
          <t>Lo indicado en Bases de la Licitación, aprobadas mediante Decreto N°21/2026 Adjunto.</t>
        </is>
      </c>
      <c r="T3" s="18" t="inlineStr">
        <is>
          <t>Jorge Bernal Peralta</t>
        </is>
      </c>
      <c r="U3" s="18" t="inlineStr"/>
      <c r="V3" s="21" t="inlineStr">
        <is>
          <t>Ver ficha</t>
        </is>
      </c>
    </row>
    <row r="4" ht="46" customHeight="1">
      <c r="A4" s="10" t="inlineStr">
        <is>
          <t>NO</t>
        </is>
      </c>
      <c r="B4" s="11" t="inlineStr">
        <is>
          <t>VIGENTE</t>
        </is>
      </c>
      <c r="C4" s="22" t="inlineStr">
        <is>
          <t>MEDIA</t>
        </is>
      </c>
      <c r="D4" s="11" t="n">
        <v>40</v>
      </c>
      <c r="E4" s="11" t="inlineStr">
        <is>
          <t>Estado BUSCA inmueble</t>
        </is>
      </c>
      <c r="F4" s="13" t="inlineStr">
        <is>
          <t>El organismo demanda un inmueble en arriendo o compra: oportunidad de colocar una propiedad de cartera o de representar al propietario. Confirmar si las bases admiten a un corredor como oferente o exigen al titular del dominio.</t>
        </is>
      </c>
      <c r="G4" s="11" t="inlineStr">
        <is>
          <t>Realsa Brokers</t>
        </is>
      </c>
      <c r="H4" s="13" t="inlineStr">
        <is>
          <t>“ARRIENDO DE CELDAS DE MEDIA TENSION MT”</t>
        </is>
      </c>
      <c r="I4" s="13" t="inlineStr">
        <is>
          <t>HOSPITAL BASE OSORNO</t>
        </is>
      </c>
      <c r="J4" s="11" t="inlineStr">
        <is>
          <t>Región de los Lagos</t>
        </is>
      </c>
      <c r="K4" s="11" t="inlineStr">
        <is>
          <t>I2</t>
        </is>
      </c>
      <c r="L4" s="11" t="inlineStr">
        <is>
          <t>no publicado</t>
        </is>
      </c>
      <c r="M4" s="11" t="n"/>
      <c r="N4" s="11" t="n">
        <v>30</v>
      </c>
      <c r="O4" s="11" t="inlineStr">
        <is>
          <t>2026-09-28 17:00</t>
        </is>
      </c>
      <c r="P4" s="11" t="inlineStr">
        <is>
          <t>1063538-206-I226</t>
        </is>
      </c>
      <c r="Q4" s="13" t="inlineStr">
        <is>
          <t>UNSPSC 80131500 (+40)</t>
        </is>
      </c>
      <c r="R4" s="13" t="inlineStr">
        <is>
          <t>proceso menor o sin ponderacion fuerte de experiencia</t>
        </is>
      </c>
      <c r="S4" s="13" t="inlineStr">
        <is>
          <t>El Hospital Base San José de Osorno, en adelante también “el Hospital”, llama a propuesta privada para generar un convenio de Arriendo de celdas de media tensión MT del Hospital Base San Jose Osorno. La forma de la presente licitación pública corresponde a aquella adquisición mayor o igual a 5.000 UTM y menor a 10.000 UTM.</t>
        </is>
      </c>
      <c r="T4" s="11" t="inlineStr">
        <is>
          <t>Yasna Albarran</t>
        </is>
      </c>
      <c r="U4" s="11" t="inlineStr"/>
      <c r="V4" s="14" t="inlineStr">
        <is>
          <t>Ver ficha</t>
        </is>
      </c>
    </row>
  </sheetData>
  <autoFilter ref="A1:V4"/>
  <hyperlinks>
    <hyperlink xmlns:r="http://schemas.openxmlformats.org/officeDocument/2006/relationships" ref="V2" r:id="rId1"/>
    <hyperlink xmlns:r="http://schemas.openxmlformats.org/officeDocument/2006/relationships" ref="V3" r:id="rId2"/>
    <hyperlink xmlns:r="http://schemas.openxmlformats.org/officeDocument/2006/relationships" ref="V4" r:id="rId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8" customWidth="1" min="3" max="3"/>
    <col width="7" customWidth="1" min="4" max="4"/>
    <col width="18" customWidth="1" min="5" max="5"/>
    <col width="17" customWidth="1" min="6" max="6"/>
    <col width="12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Entidad</t>
        </is>
      </c>
      <c r="D1" s="9" t="inlineStr">
        <is>
          <t>Score</t>
        </is>
      </c>
      <c r="E1" s="9" t="inlineStr">
        <is>
          <t>Estado</t>
        </is>
      </c>
      <c r="F1" s="9" t="inlineStr">
        <is>
          <t>Cierre</t>
        </is>
      </c>
      <c r="G1" s="9" t="inlineStr">
        <is>
          <t>Monto UF</t>
        </is>
      </c>
      <c r="H1" s="9" t="inlineStr">
        <is>
          <t>Primera vista</t>
        </is>
      </c>
      <c r="I1" s="9" t="inlineStr">
        <is>
          <t>Ultima vista</t>
        </is>
      </c>
      <c r="J1" s="9" t="inlineStr">
        <is>
          <t>Semanas en radar</t>
        </is>
      </c>
    </row>
    <row r="2">
      <c r="A2" s="11" t="inlineStr">
        <is>
          <t>3994-21-L126</t>
        </is>
      </c>
      <c r="B2" s="13" t="inlineStr">
        <is>
          <t>SERVICIO DE TASACION COMERCIAL DE INMUEBLE</t>
        </is>
      </c>
      <c r="C2" s="11" t="inlineStr">
        <is>
          <t>Realsa Brokers</t>
        </is>
      </c>
      <c r="D2" s="11" t="n">
        <v>78</v>
      </c>
      <c r="E2" s="11" t="inlineStr">
        <is>
          <t>Publicada</t>
        </is>
      </c>
      <c r="F2" s="11" t="inlineStr">
        <is>
          <t>2026-08-26 15:00</t>
        </is>
      </c>
      <c r="G2" s="11" t="n"/>
      <c r="H2" s="11" t="inlineStr">
        <is>
          <t>2026-08-25</t>
        </is>
      </c>
      <c r="I2" s="11" t="inlineStr">
        <is>
          <t>2026-08-25</t>
        </is>
      </c>
      <c r="J2" s="11" t="n">
        <v>4</v>
      </c>
    </row>
    <row r="3">
      <c r="A3" s="11" t="inlineStr">
        <is>
          <t>2760-98-LE26</t>
        </is>
      </c>
      <c r="B3" s="13" t="inlineStr">
        <is>
          <t>ARRIENDO DE INMUEBLE PARA BODEGA Y ARCHIVOS INMEDIATOS DE DISTINTAS DIRECCIONES MUNICIPALES</t>
        </is>
      </c>
      <c r="C3" s="11" t="inlineStr">
        <is>
          <t>Realsa Brokers</t>
        </is>
      </c>
      <c r="D3" s="11" t="n">
        <v>66</v>
      </c>
      <c r="E3" s="11" t="inlineStr">
        <is>
          <t>Publicada</t>
        </is>
      </c>
      <c r="F3" s="11" t="inlineStr">
        <is>
          <t>2026-08-26 15:00</t>
        </is>
      </c>
      <c r="G3" s="11" t="n"/>
      <c r="H3" s="11" t="inlineStr">
        <is>
          <t>2026-08-25</t>
        </is>
      </c>
      <c r="I3" s="11" t="inlineStr">
        <is>
          <t>2026-08-25</t>
        </is>
      </c>
      <c r="J3" s="11" t="n">
        <v>4</v>
      </c>
    </row>
    <row r="4">
      <c r="A4" s="11" t="inlineStr">
        <is>
          <t>1743-64-LE26</t>
        </is>
      </c>
      <c r="B4" s="13" t="inlineStr">
        <is>
          <t>SERVICIO DE ARRIENDO INMUEBLES PARA OFICINAS</t>
        </is>
      </c>
      <c r="C4" s="11" t="inlineStr">
        <is>
          <t>Realsa Brokers</t>
        </is>
      </c>
      <c r="D4" s="11" t="n">
        <v>66</v>
      </c>
      <c r="E4" s="11" t="inlineStr">
        <is>
          <t>Publicada</t>
        </is>
      </c>
      <c r="F4" s="11" t="inlineStr">
        <is>
          <t>2026-08-31 16:00</t>
        </is>
      </c>
      <c r="G4" s="11" t="n"/>
      <c r="H4" s="11" t="inlineStr">
        <is>
          <t>2026-08-25</t>
        </is>
      </c>
      <c r="I4" s="11" t="inlineStr">
        <is>
          <t>2026-08-29</t>
        </is>
      </c>
      <c r="J4" s="11" t="n">
        <v>4</v>
      </c>
    </row>
    <row r="5">
      <c r="A5" s="11" t="inlineStr">
        <is>
          <t>2495-16-CO26</t>
        </is>
      </c>
      <c r="B5" s="13" t="inlineStr">
        <is>
          <t>ARRIENDO DE INMUEBLE PARA OFICINA Y RESIDENCIA</t>
        </is>
      </c>
      <c r="C5" s="11" t="inlineStr">
        <is>
          <t>Realsa Brokers</t>
        </is>
      </c>
      <c r="D5" s="11" t="n">
        <v>66</v>
      </c>
      <c r="E5" s="11" t="inlineStr">
        <is>
          <t>Publicada</t>
        </is>
      </c>
      <c r="F5" s="11" t="inlineStr">
        <is>
          <t>2026-08-31 16:00</t>
        </is>
      </c>
      <c r="G5" s="11" t="n"/>
      <c r="H5" s="11" t="inlineStr">
        <is>
          <t>2026-08-25</t>
        </is>
      </c>
      <c r="I5" s="11" t="inlineStr">
        <is>
          <t>2026-08-29</t>
        </is>
      </c>
      <c r="J5" s="11" t="n">
        <v>4</v>
      </c>
    </row>
    <row r="6">
      <c r="A6" s="11" t="inlineStr">
        <is>
          <t>2359-13-LP26</t>
        </is>
      </c>
      <c r="B6" s="13" t="inlineStr">
        <is>
          <t>ARRIENDO DE INMUEBLES 2026-2028</t>
        </is>
      </c>
      <c r="C6" s="11" t="inlineStr">
        <is>
          <t>Gamma</t>
        </is>
      </c>
      <c r="D6" s="11" t="n">
        <v>66</v>
      </c>
      <c r="E6" s="11" t="inlineStr">
        <is>
          <t>Publicada</t>
        </is>
      </c>
      <c r="F6" s="11" t="inlineStr">
        <is>
          <t>2026-09-08 15:30</t>
        </is>
      </c>
      <c r="G6" s="11" t="n"/>
      <c r="H6" s="11" t="inlineStr">
        <is>
          <t>2026-08-25</t>
        </is>
      </c>
      <c r="I6" s="11" t="inlineStr">
        <is>
          <t>2026-09-06</t>
        </is>
      </c>
      <c r="J6" s="11" t="n">
        <v>4</v>
      </c>
    </row>
    <row r="7">
      <c r="A7" s="11" t="inlineStr">
        <is>
          <t>2713-157-LP26</t>
        </is>
      </c>
      <c r="B7" s="13" t="inlineStr">
        <is>
          <t>Servicio de arriendo - Folio 852 - DIDECO</t>
        </is>
      </c>
      <c r="C7" s="11" t="inlineStr">
        <is>
          <t>Gamma</t>
        </is>
      </c>
      <c r="D7" s="11" t="n">
        <v>59</v>
      </c>
      <c r="E7" s="11" t="inlineStr">
        <is>
          <t>Publicada</t>
        </is>
      </c>
      <c r="F7" s="11" t="inlineStr">
        <is>
          <t>2026-09-02 09:30</t>
        </is>
      </c>
      <c r="G7" s="11" t="n">
        <v>3523</v>
      </c>
      <c r="H7" s="11" t="inlineStr">
        <is>
          <t>2026-08-25</t>
        </is>
      </c>
      <c r="I7" s="11" t="inlineStr">
        <is>
          <t>2026-08-29</t>
        </is>
      </c>
      <c r="J7" s="11" t="n">
        <v>4</v>
      </c>
    </row>
    <row r="8">
      <c r="A8" s="11" t="inlineStr">
        <is>
          <t>552578-38-L126</t>
        </is>
      </c>
      <c r="B8" s="13" t="inlineStr">
        <is>
          <t>CONCESIÓN DE LOCALES COMERCIALES PASEO SAN RAFAEL</t>
        </is>
      </c>
      <c r="C8" s="11" t="inlineStr">
        <is>
          <t>Realsa Brokers</t>
        </is>
      </c>
      <c r="D8" s="11" t="n">
        <v>56</v>
      </c>
      <c r="E8" s="11" t="inlineStr">
        <is>
          <t>Publicada</t>
        </is>
      </c>
      <c r="F8" s="11" t="inlineStr">
        <is>
          <t>2026-08-27 18:00</t>
        </is>
      </c>
      <c r="G8" s="11" t="n"/>
      <c r="H8" s="11" t="inlineStr">
        <is>
          <t>2026-08-25</t>
        </is>
      </c>
      <c r="I8" s="11" t="inlineStr">
        <is>
          <t>2026-08-25</t>
        </is>
      </c>
      <c r="J8" s="11" t="n">
        <v>4</v>
      </c>
    </row>
    <row r="9">
      <c r="A9" s="11" t="inlineStr">
        <is>
          <t>4295-54-LR26</t>
        </is>
      </c>
      <c r="B9" s="13" t="inlineStr">
        <is>
          <t>VENTA DE TERRENOS DE PROPIEDAD MUNICIPAL LA SERENA</t>
        </is>
      </c>
      <c r="C9" s="11" t="inlineStr">
        <is>
          <t>Gamma</t>
        </is>
      </c>
      <c r="D9" s="11" t="n">
        <v>55</v>
      </c>
      <c r="E9" s="11" t="inlineStr">
        <is>
          <t>Publicada</t>
        </is>
      </c>
      <c r="F9" s="11" t="inlineStr">
        <is>
          <t>2026-10-14 15:00</t>
        </is>
      </c>
      <c r="G9" s="11" t="n"/>
      <c r="H9" s="11" t="inlineStr">
        <is>
          <t>2026-08-25</t>
        </is>
      </c>
      <c r="I9" s="11" t="inlineStr">
        <is>
          <t>2026-09-18</t>
        </is>
      </c>
      <c r="J9" s="11" t="n">
        <v>4</v>
      </c>
    </row>
    <row r="10">
      <c r="A10" s="11" t="inlineStr">
        <is>
          <t>5358-9-LR26</t>
        </is>
      </c>
      <c r="B10" s="13" t="inlineStr">
        <is>
          <t>ADQUISICIÓN DE TERRENO PARA PROYECTO EDUCACIONAL U</t>
        </is>
      </c>
      <c r="C10" s="11" t="inlineStr">
        <is>
          <t>Gamma</t>
        </is>
      </c>
      <c r="D10" s="11" t="n">
        <v>49</v>
      </c>
      <c r="E10" s="11" t="inlineStr">
        <is>
          <t>Publicada</t>
        </is>
      </c>
      <c r="F10" s="11" t="inlineStr">
        <is>
          <t>2026-10-16 15:01</t>
        </is>
      </c>
      <c r="G10" s="11" t="n">
        <v>122073</v>
      </c>
      <c r="H10" s="11" t="inlineStr">
        <is>
          <t>2026-08-25</t>
        </is>
      </c>
      <c r="I10" s="11" t="inlineStr">
        <is>
          <t>2026-09-18</t>
        </is>
      </c>
      <c r="J10" s="11" t="n">
        <v>4</v>
      </c>
    </row>
    <row r="11">
      <c r="A11" s="11" t="inlineStr">
        <is>
          <t>1063538-206-I226</t>
        </is>
      </c>
      <c r="B11" s="13" t="inlineStr">
        <is>
          <t>“ARRIENDO DE CELDAS DE MEDIA TENSION MT”</t>
        </is>
      </c>
      <c r="C11" s="11" t="inlineStr">
        <is>
          <t>Realsa Brokers</t>
        </is>
      </c>
      <c r="D11" s="11" t="n">
        <v>40</v>
      </c>
      <c r="E11" s="11" t="inlineStr">
        <is>
          <t>Publicada</t>
        </is>
      </c>
      <c r="F11" s="11" t="inlineStr">
        <is>
          <t>2026-09-28 17:00</t>
        </is>
      </c>
      <c r="G11" s="11" t="n"/>
      <c r="H11" s="11" t="inlineStr">
        <is>
          <t>2026-08-29</t>
        </is>
      </c>
      <c r="I11" s="11" t="inlineStr">
        <is>
          <t>2026-09-18</t>
        </is>
      </c>
      <c r="J11" s="11" t="n">
        <v>3</v>
      </c>
    </row>
    <row r="12">
      <c r="A12" s="11" t="inlineStr">
        <is>
          <t>867990-62-LE26</t>
        </is>
      </c>
      <c r="B12" s="13" t="inlineStr">
        <is>
          <t>CDP 91352 - CC 102 — TASACIÓN DE BIENES INMUEBLES</t>
        </is>
      </c>
      <c r="C12" s="11" t="inlineStr">
        <is>
          <t>Realsa Brokers</t>
        </is>
      </c>
      <c r="D12" s="11" t="n">
        <v>38</v>
      </c>
      <c r="E12" s="11" t="inlineStr">
        <is>
          <t>Publicada</t>
        </is>
      </c>
      <c r="F12" s="11" t="inlineStr">
        <is>
          <t>2026-08-31 15:00</t>
        </is>
      </c>
      <c r="G12" s="11" t="n">
        <v>1101</v>
      </c>
      <c r="H12" s="11" t="inlineStr">
        <is>
          <t>2026-08-25</t>
        </is>
      </c>
      <c r="I12" s="11" t="inlineStr">
        <is>
          <t>2026-08-29</t>
        </is>
      </c>
      <c r="J12" s="11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34" customWidth="1" min="3" max="3"/>
    <col width="24" customWidth="1" min="4" max="4"/>
    <col width="6" customWidth="1" min="5" max="5"/>
    <col width="18" customWidth="1" min="6" max="6"/>
    <col width="12" customWidth="1" min="7" max="7"/>
    <col width="30" customWidth="1" min="8" max="8"/>
    <col width="17" customWidth="1" min="9" max="9"/>
    <col width="38" customWidth="1" min="10" max="10"/>
    <col width="18" customWidth="1" min="11" max="11"/>
    <col width="30" customWidth="1" min="12" max="12"/>
  </cols>
  <sheetData>
    <row r="1" ht="30" customHeight="1">
      <c r="A1" s="9" t="inlineStr">
        <is>
          <t>Score</t>
        </is>
      </c>
      <c r="B1" s="9" t="inlineStr">
        <is>
          <t>Nombre</t>
        </is>
      </c>
      <c r="C1" s="9" t="inlineStr">
        <is>
          <t>Organismo</t>
        </is>
      </c>
      <c r="D1" s="9" t="inlineStr">
        <is>
          <t>Region</t>
        </is>
      </c>
      <c r="E1" s="9" t="inlineStr">
        <is>
          <t>Tipo</t>
        </is>
      </c>
      <c r="F1" s="9" t="inlineStr">
        <is>
          <t>Monto publicado</t>
        </is>
      </c>
      <c r="G1" s="9" t="inlineStr">
        <is>
          <t>Monto UF</t>
        </is>
      </c>
      <c r="H1" s="9" t="inlineStr">
        <is>
          <t>Rango estimado por tipo</t>
        </is>
      </c>
      <c r="I1" s="9" t="inlineStr">
        <is>
          <t>Cierre</t>
        </is>
      </c>
      <c r="J1" s="9" t="inlineStr">
        <is>
          <t>Por que no entro</t>
        </is>
      </c>
      <c r="K1" s="9" t="inlineStr">
        <is>
          <t>Codigo</t>
        </is>
      </c>
      <c r="L1" s="9" t="inlineStr">
        <is>
          <t>URL</t>
        </is>
      </c>
    </row>
    <row r="2" ht="42" customHeight="1">
      <c r="A2" s="11" t="n">
        <v>78</v>
      </c>
      <c r="B2" s="13" t="inlineStr">
        <is>
          <t>SERVICIO DE TASACIÓN DE BIEN INMUEBLE</t>
        </is>
      </c>
      <c r="C2" s="13" t="inlineStr">
        <is>
          <t>I MUNICIPALIDAD DE YUMBEL</t>
        </is>
      </c>
      <c r="D2" s="11" t="inlineStr">
        <is>
          <t>Región del Biobío</t>
        </is>
      </c>
      <c r="E2" s="11" t="inlineStr">
        <is>
          <t>L1</t>
        </is>
      </c>
      <c r="F2" s="11" t="inlineStr">
        <is>
          <t>CLP 400,000</t>
        </is>
      </c>
      <c r="G2" s="11" t="n">
        <v>10</v>
      </c>
      <c r="H2" s="11" t="inlineStr">
        <is>
          <t>&lt; 100 UTM (~&lt; UF 170)</t>
        </is>
      </c>
      <c r="I2" s="11" t="inlineStr">
        <is>
          <t>2026-09-25 09:00</t>
        </is>
      </c>
      <c r="J2" s="13" t="inlineStr">
        <is>
          <t>bajo umbral de monto (Nacional, UF 10 (umbral UF 2.000))</t>
        </is>
      </c>
      <c r="K2" s="11" t="inlineStr">
        <is>
          <t>4055-74-L126</t>
        </is>
      </c>
      <c r="L2" s="14" t="inlineStr">
        <is>
          <t>Ver ficha</t>
        </is>
      </c>
    </row>
    <row r="3" ht="42" customHeight="1">
      <c r="A3" s="11" t="n">
        <v>66</v>
      </c>
      <c r="B3" s="13" t="inlineStr">
        <is>
          <t>ARRIENDO DE INMUEBLE PARA GABINETE PSICOTECNICO</t>
        </is>
      </c>
      <c r="C3" s="13" t="inlineStr">
        <is>
          <t>I MUNICIPALIDAD DE ERCILLA</t>
        </is>
      </c>
      <c r="D3" s="11" t="inlineStr">
        <is>
          <t>Región de la Araucanía</t>
        </is>
      </c>
      <c r="E3" s="11" t="inlineStr">
        <is>
          <t>LE</t>
        </is>
      </c>
      <c r="F3" s="11" t="inlineStr">
        <is>
          <t>CLP 14,400,000</t>
        </is>
      </c>
      <c r="G3" s="11" t="n">
        <v>352</v>
      </c>
      <c r="H3" s="11" t="inlineStr">
        <is>
          <t>100-1.000 UTM (~UF 170-1.700)</t>
        </is>
      </c>
      <c r="I3" s="11" t="inlineStr">
        <is>
          <t>2026-09-24 15:00</t>
        </is>
      </c>
      <c r="J3" s="13" t="inlineStr">
        <is>
          <t>bajo umbral de monto (Nacional, UF 352 (umbral UF 2.000))</t>
        </is>
      </c>
      <c r="K3" s="11" t="inlineStr">
        <is>
          <t>4306-34-LE26</t>
        </is>
      </c>
      <c r="L3" s="14" t="inlineStr">
        <is>
          <t>Ver ficha</t>
        </is>
      </c>
    </row>
    <row r="5">
      <c r="A5" s="23" t="inlineStr">
        <is>
          <t>Estas licitaciones SI calzan con el servicio, pero quedan fuera por monto o plazo. Ojo: Mercado Publico publica el valor del CONTRATO (honorario), no el valor del activo — una tasacion de un edificio grande puede aparecer como UF 73. Revisar antes de descartar.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46" customWidth="1" min="4" max="4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Score</t>
        </is>
      </c>
      <c r="D1" s="9" t="inlineStr">
        <is>
          <t>Motivo del descarte</t>
        </is>
      </c>
    </row>
    <row r="2">
      <c r="A2" s="11" t="inlineStr">
        <is>
          <t>1002772-88-LR26</t>
        </is>
      </c>
      <c r="B2" s="13" t="inlineStr">
        <is>
          <t>PRÓTESIS DE RODILLA EN CONSIGNACIÓN CON COMODATO</t>
        </is>
      </c>
      <c r="C2" s="11" t="n">
        <v>0</v>
      </c>
      <c r="D2" s="13" t="inlineStr">
        <is>
          <t>score 0 &lt; 30</t>
        </is>
      </c>
    </row>
    <row r="3">
      <c r="A3" s="11" t="inlineStr">
        <is>
          <t>1002772-96-LP26</t>
        </is>
      </c>
      <c r="B3" s="13" t="inlineStr">
        <is>
          <t>INSTRUMENTAL DE NEURO CON CRANEOTOMO EN COMODATO</t>
        </is>
      </c>
      <c r="C3" s="11" t="n">
        <v>0</v>
      </c>
      <c r="D3" s="13" t="inlineStr">
        <is>
          <t>score 0 &lt; 30</t>
        </is>
      </c>
    </row>
    <row r="4">
      <c r="A4" s="11" t="inlineStr">
        <is>
          <t>1002772-97-LP26</t>
        </is>
      </c>
      <c r="B4" s="13" t="inlineStr">
        <is>
          <t>SUMINISTROS ODONTOLOGICOS PARA REHABILITACION ORAL</t>
        </is>
      </c>
      <c r="C4" s="11" t="n">
        <v>0</v>
      </c>
      <c r="D4" s="13" t="inlineStr">
        <is>
          <t>score 0 &lt; 30</t>
        </is>
      </c>
    </row>
    <row r="5">
      <c r="A5" s="11" t="inlineStr">
        <is>
          <t>1027-15-LP26</t>
        </is>
      </c>
      <c r="B5" s="13" t="inlineStr">
        <is>
          <t>Servicio de Mantención Reparación y Habilitación de Campamentos Móviles Talleres y Bodegas de la Administración Directa en la Provincia de Huasco Región de Atacama.</t>
        </is>
      </c>
      <c r="C5" s="11" t="n">
        <v>13</v>
      </c>
      <c r="D5" s="13" t="inlineStr">
        <is>
          <t>score 13 &lt; 30</t>
        </is>
      </c>
    </row>
    <row r="6">
      <c r="A6" s="11" t="inlineStr">
        <is>
          <t>1035685-19-LE26</t>
        </is>
      </c>
      <c r="B6" s="13" t="inlineStr">
        <is>
          <t>Ampliación de Espacio Académico Sede Panguipulli</t>
        </is>
      </c>
      <c r="C6" s="11" t="n">
        <v>8</v>
      </c>
      <c r="D6" s="13" t="inlineStr">
        <is>
          <t>solo mencion de inmueble, sin servicio inmobiliario</t>
        </is>
      </c>
    </row>
    <row r="7">
      <c r="A7" s="11" t="inlineStr">
        <is>
          <t>1036569-10-LP26</t>
        </is>
      </c>
      <c r="B7" s="13" t="inlineStr">
        <is>
          <t>PROYECTO: EQUIPAMIENTO REHABILITACIÓN TELETÓN</t>
        </is>
      </c>
      <c r="C7" s="11" t="n">
        <v>0</v>
      </c>
      <c r="D7" s="13" t="inlineStr">
        <is>
          <t>score 0 &lt; 30</t>
        </is>
      </c>
    </row>
    <row r="8">
      <c r="A8" s="11" t="inlineStr">
        <is>
          <t>1039-7-LR26</t>
        </is>
      </c>
      <c r="B8" s="13" t="inlineStr">
        <is>
          <t>SERVICIO  DE ARRIENDO DE EQUIPO MECANIZADO</t>
        </is>
      </c>
      <c r="C8" s="11" t="n">
        <v>17</v>
      </c>
      <c r="D8" s="13" t="inlineStr">
        <is>
          <t>score 17 &lt; 30</t>
        </is>
      </c>
    </row>
    <row r="9">
      <c r="A9" s="11" t="inlineStr">
        <is>
          <t>1040538-15-L126</t>
        </is>
      </c>
      <c r="B9" s="13" t="inlineStr">
        <is>
          <t>CONTRATACIÓN DEL SERVICIO DE MONTAJE, HABILITACIÓN Y APOYO LOGÍSTICO PARA ACTIVIDAD EN NEVADOS DE CHILLÁN</t>
        </is>
      </c>
      <c r="C9" s="11" t="n">
        <v>0</v>
      </c>
      <c r="D9" s="13" t="inlineStr">
        <is>
          <t>score 0 &lt; 30</t>
        </is>
      </c>
    </row>
    <row r="10">
      <c r="A10" s="11" t="inlineStr">
        <is>
          <t>1057049-322-I226</t>
        </is>
      </c>
      <c r="B10" s="13" t="inlineStr">
        <is>
          <t>SHV SUMINISTRO DE REACTIVOS PARA BIOLOGIA MOLECULAR CON COMODATO DE EQUIPOS LABORATORIO CENTRAL</t>
        </is>
      </c>
      <c r="C10" s="11" t="n">
        <v>0</v>
      </c>
      <c r="D10" s="13" t="inlineStr">
        <is>
          <t>score 0 &lt; 30</t>
        </is>
      </c>
    </row>
    <row r="11">
      <c r="A11" s="11" t="inlineStr">
        <is>
          <t>1057049-328-LR26</t>
        </is>
      </c>
      <c r="B11" s="13" t="inlineStr">
        <is>
          <t>SHV SUMINISTRO DE REACTIVOS DE AUTOINMUNIDAD CON EQUIPOS EN COMODATO LABORATORIO CENTRAL</t>
        </is>
      </c>
      <c r="C11" s="11" t="n">
        <v>0</v>
      </c>
      <c r="D11" s="13" t="inlineStr">
        <is>
          <t>score 0 &lt; 30</t>
        </is>
      </c>
    </row>
    <row r="12">
      <c r="A12" s="11" t="inlineStr">
        <is>
          <t>1057049-329-LE26</t>
        </is>
      </c>
      <c r="B12" s="13" t="inlineStr">
        <is>
          <t>JAC ADQ. DE MANTAS TÉRMICAS CON COMODATO DE EQUIPO</t>
        </is>
      </c>
      <c r="C12" s="11" t="n">
        <v>0</v>
      </c>
      <c r="D12" s="13" t="inlineStr">
        <is>
          <t>score 0 &lt; 30</t>
        </is>
      </c>
    </row>
    <row r="13">
      <c r="A13" s="11" t="inlineStr">
        <is>
          <t>1057402-144-LP26</t>
        </is>
      </c>
      <c r="B13" s="13" t="inlineStr">
        <is>
          <t>Contratación de Servicio de Arriendo de Bodegaje Externo para el Hospital Clínico de Magallanes</t>
        </is>
      </c>
      <c r="C13" s="11" t="n">
        <v>19</v>
      </c>
      <c r="D13" s="13" t="inlineStr">
        <is>
          <t>score 19 &lt; 30</t>
        </is>
      </c>
    </row>
    <row r="14">
      <c r="A14" s="11" t="inlineStr">
        <is>
          <t>1057417-186-LP26</t>
        </is>
      </c>
      <c r="B14" s="13" t="inlineStr">
        <is>
          <t>ARRIENDO DE 2 CAMAS DE PARTO</t>
        </is>
      </c>
      <c r="C14" s="11" t="n">
        <v>0</v>
      </c>
      <c r="D14" s="13" t="inlineStr">
        <is>
          <t>score 0 &lt; 30</t>
        </is>
      </c>
    </row>
    <row r="15">
      <c r="A15" s="11" t="inlineStr">
        <is>
          <t>1057429-85-LE26</t>
        </is>
      </c>
      <c r="B15" s="13" t="inlineStr">
        <is>
          <t>EJECUCIÓN DE RADIER PARA BODEGA DE FARMACIA</t>
        </is>
      </c>
      <c r="C15" s="11" t="n">
        <v>7</v>
      </c>
      <c r="D15" s="13" t="inlineStr">
        <is>
          <t>solo mencion de inmueble, sin servicio inmobiliario</t>
        </is>
      </c>
    </row>
    <row r="16">
      <c r="A16" s="11" t="inlineStr">
        <is>
          <t>1057429-86-LE26</t>
        </is>
      </c>
      <c r="B16" s="13" t="inlineStr">
        <is>
          <t>ARRIENDO DE SETS DE MOTORES QUIRÚRGICOS</t>
        </is>
      </c>
      <c r="C16" s="11" t="n">
        <v>0</v>
      </c>
      <c r="D16" s="13" t="inlineStr">
        <is>
          <t>score 0 &lt; 30</t>
        </is>
      </c>
    </row>
    <row r="17">
      <c r="A17" s="11" t="inlineStr">
        <is>
          <t>1057472-101-LP26</t>
        </is>
      </c>
      <c r="B17" s="13" t="inlineStr">
        <is>
          <t>ARRIENDO DE ENDOSCOPIOS</t>
        </is>
      </c>
      <c r="C17" s="11" t="n">
        <v>0</v>
      </c>
      <c r="D17" s="13" t="inlineStr">
        <is>
          <t>score 0 &lt; 30</t>
        </is>
      </c>
    </row>
    <row r="18">
      <c r="A18" s="11" t="inlineStr">
        <is>
          <t>1057486-21-LE26</t>
        </is>
      </c>
      <c r="B18" s="13" t="inlineStr">
        <is>
          <t>Servicio de rehabilitación psicosocial tipo I y II</t>
        </is>
      </c>
      <c r="C18" s="11" t="n">
        <v>0</v>
      </c>
      <c r="D18" s="13" t="inlineStr">
        <is>
          <t>score 0 &lt; 30</t>
        </is>
      </c>
    </row>
    <row r="19">
      <c r="A19" s="11" t="inlineStr">
        <is>
          <t>1057489-285-LP26</t>
        </is>
      </c>
      <c r="B19" s="13" t="inlineStr">
        <is>
          <t>Arriendo de Huelleros digitales y Pistola Escáner</t>
        </is>
      </c>
      <c r="C19" s="11" t="n">
        <v>0</v>
      </c>
      <c r="D19" s="13" t="inlineStr">
        <is>
          <t>score 0 &lt; 30</t>
        </is>
      </c>
    </row>
    <row r="20">
      <c r="A20" s="11" t="inlineStr">
        <is>
          <t>1057491-177-LP26</t>
        </is>
      </c>
      <c r="B20" s="13" t="inlineStr">
        <is>
          <t>ARRIENDO DE INSTRUMENTAL QUIRURGICO</t>
        </is>
      </c>
      <c r="C20" s="11" t="n">
        <v>0</v>
      </c>
      <c r="D20" s="13" t="inlineStr">
        <is>
          <t>score 0 &lt; 30</t>
        </is>
      </c>
    </row>
    <row r="21">
      <c r="A21" s="11" t="inlineStr">
        <is>
          <t>1057491-178-LP26</t>
        </is>
      </c>
      <c r="B21" s="13" t="inlineStr">
        <is>
          <t>EXAMENES POR CITOMETRIA DE FLUJO CON COMODATO</t>
        </is>
      </c>
      <c r="C21" s="11" t="n">
        <v>0</v>
      </c>
      <c r="D21" s="13" t="inlineStr">
        <is>
          <t>score 0 &lt; 30</t>
        </is>
      </c>
    </row>
    <row r="22">
      <c r="A22" s="11" t="inlineStr">
        <is>
          <t>1057492-121-LE26</t>
        </is>
      </c>
      <c r="B22" s="13" t="inlineStr">
        <is>
          <t>SS ARRIENDO CAJAS INSTRUMENTAL QX CX DIGESTIVA ALT</t>
        </is>
      </c>
      <c r="C22" s="11" t="n">
        <v>0</v>
      </c>
      <c r="D22" s="13" t="inlineStr">
        <is>
          <t>score 0 &lt; 30</t>
        </is>
      </c>
    </row>
    <row r="23">
      <c r="A23" s="11" t="inlineStr">
        <is>
          <t>1057492-123-LE26</t>
        </is>
      </c>
      <c r="B23" s="13" t="inlineStr">
        <is>
          <t>SUMINISTRO DE BAJADAS PARA BOMBA PCA CON ENTREGA DE EQUIPOS EN COMODATO</t>
        </is>
      </c>
      <c r="C23" s="11" t="n">
        <v>0</v>
      </c>
      <c r="D23" s="13" t="inlineStr">
        <is>
          <t>score 0 &lt; 30</t>
        </is>
      </c>
    </row>
    <row r="24">
      <c r="A24" s="11" t="inlineStr">
        <is>
          <t>1057492-128-LP26</t>
        </is>
      </c>
      <c r="B24" s="13" t="inlineStr">
        <is>
          <t>SERVICIO ARRIENDO DE LAVADORA TERMODESINFECTADORA</t>
        </is>
      </c>
      <c r="C24" s="11" t="n">
        <v>0</v>
      </c>
      <c r="D24" s="13" t="inlineStr">
        <is>
          <t>score 0 &lt; 30</t>
        </is>
      </c>
    </row>
    <row r="25">
      <c r="A25" s="11" t="inlineStr">
        <is>
          <t>1057494-60-LE26</t>
        </is>
      </c>
      <c r="B25" s="13" t="inlineStr">
        <is>
          <t>SUMINISTRO DE DRENAJES DE HERIDAS CON EQUIPAMIENTO EN COMODATO PARA EL HOSPITAL DR. EXEQUIEL GONZÁLEZ CORTÉS</t>
        </is>
      </c>
      <c r="C25" s="11" t="n">
        <v>0</v>
      </c>
      <c r="D25" s="13" t="inlineStr">
        <is>
          <t>score 0 &lt; 30</t>
        </is>
      </c>
    </row>
    <row r="26">
      <c r="A26" s="11" t="inlineStr">
        <is>
          <t>1057501-395-LR26</t>
        </is>
      </c>
      <c r="B26" s="13" t="inlineStr">
        <is>
          <t xml:space="preserve">Convenio Inmunohematología Unidad de Medicina Transfusional con equipos en comodato por 24 meses </t>
        </is>
      </c>
      <c r="C26" s="11" t="n">
        <v>0</v>
      </c>
      <c r="D26" s="13" t="inlineStr">
        <is>
          <t>score 0 &lt; 30</t>
        </is>
      </c>
    </row>
    <row r="27">
      <c r="A27" s="11" t="inlineStr">
        <is>
          <t>1057501-435-LR26</t>
        </is>
      </c>
      <c r="B27" s="13" t="inlineStr">
        <is>
          <t>ARRIENDO DE ARCO C Y EQUIPO RAYO PORTÁTIL</t>
        </is>
      </c>
      <c r="C27" s="11" t="n">
        <v>0</v>
      </c>
      <c r="D27" s="13" t="inlineStr">
        <is>
          <t>score 0 &lt; 30</t>
        </is>
      </c>
    </row>
    <row r="28">
      <c r="A28" s="11" t="inlineStr">
        <is>
          <t>1057501-473-LE26</t>
        </is>
      </c>
      <c r="B28" s="13" t="inlineStr">
        <is>
          <t>Habilitación para Instalacion de Food Truck HSR</t>
        </is>
      </c>
      <c r="C28" s="11" t="n">
        <v>10</v>
      </c>
      <c r="D28" s="13" t="inlineStr">
        <is>
          <t>score 10 &lt; 30</t>
        </is>
      </c>
    </row>
    <row r="29">
      <c r="A29" s="11" t="inlineStr">
        <is>
          <t>1057501-477-LP26</t>
        </is>
      </c>
      <c r="B29" s="13" t="inlineStr">
        <is>
          <t>Convenio reactivos para exámenes de inmunología serología infecciona y Autoinmunidad con equipos en comodato por 24 meses</t>
        </is>
      </c>
      <c r="C29" s="11" t="n">
        <v>0</v>
      </c>
      <c r="D29" s="13" t="inlineStr">
        <is>
          <t>score 0 &lt; 30</t>
        </is>
      </c>
    </row>
    <row r="30">
      <c r="A30" s="11" t="inlineStr">
        <is>
          <t>1057501-493-LP26</t>
        </is>
      </c>
      <c r="B30" s="13" t="inlineStr">
        <is>
          <t>ARRIENDO DE MÁQUINA DE ANESTESIA HSR</t>
        </is>
      </c>
      <c r="C30" s="11" t="n">
        <v>0</v>
      </c>
      <c r="D30" s="13" t="inlineStr">
        <is>
          <t>score 0 &lt; 30</t>
        </is>
      </c>
    </row>
    <row r="31">
      <c r="A31" s="11" t="inlineStr">
        <is>
          <t>1057503-137-LR26</t>
        </is>
      </c>
      <c r="B31" s="13" t="inlineStr">
        <is>
          <t>Adquisición de Test Reportado de Orina Completa y Sedimentos Urinarios Automatizados con Equipamiento en Comodato para el Hospital Padre Alberto Hurtado</t>
        </is>
      </c>
      <c r="C31" s="11" t="n">
        <v>0</v>
      </c>
      <c r="D31" s="13" t="inlineStr">
        <is>
          <t>score 0 &lt; 30</t>
        </is>
      </c>
    </row>
    <row r="32">
      <c r="A32" s="11" t="inlineStr">
        <is>
          <t>1057509-269-LP26</t>
        </is>
      </c>
      <c r="B32" s="13" t="inlineStr">
        <is>
          <t>CONVENIO CONTRATACIÓN DE SERVICIOS DE APOYO PROFESIONALY TÉCNICO PARA EL DEPARTAMENTO DE EQUIPAMIENTO CLÍNICO DEL HOSPITAL REGIONAL DE ÑUBLE</t>
        </is>
      </c>
      <c r="C32" s="11" t="n">
        <v>5</v>
      </c>
      <c r="D32" s="13" t="inlineStr">
        <is>
          <t>solo mencion de inmueble, sin servicio inmobiliario</t>
        </is>
      </c>
    </row>
    <row r="33">
      <c r="A33" s="11" t="inlineStr">
        <is>
          <t>1057509-275-LP26</t>
        </is>
      </c>
      <c r="B33" s="13" t="inlineStr">
        <is>
          <t>CONVENIO COMPRA DE SERVICIOS PARA TÉCNICOS DE BODEGA DE GASES CLÍNICOS</t>
        </is>
      </c>
      <c r="C33" s="11" t="n">
        <v>7</v>
      </c>
      <c r="D33" s="13" t="inlineStr">
        <is>
          <t>solo mencion de inmueble, sin servicio inmobiliario</t>
        </is>
      </c>
    </row>
    <row r="34">
      <c r="A34" s="11" t="inlineStr">
        <is>
          <t>1057509-292-LE26</t>
        </is>
      </c>
      <c r="B34" s="13" t="inlineStr">
        <is>
          <t>“CONVENIO COMPRA SERVICIOS DE PROFESIONAL APOYO AL PROCESO DE GESTIÓN AL SISTEMA DE GESTIÓN DE COSTOS PARA EL DEPARTAMENTO DE FINANZAS” brd</t>
        </is>
      </c>
      <c r="C34" s="11" t="n">
        <v>5</v>
      </c>
      <c r="D34" s="13" t="inlineStr">
        <is>
          <t>solo mencion de inmueble, sin servicio inmobiliario</t>
        </is>
      </c>
    </row>
    <row r="35">
      <c r="A35" s="11" t="inlineStr">
        <is>
          <t>1057511-28-LE26</t>
        </is>
      </c>
      <c r="B35" s="13" t="inlineStr">
        <is>
          <t xml:space="preserve">COMPRA DE SERVICIOS DE TRASLADO HODOM POR CAMPAÑA </t>
        </is>
      </c>
      <c r="C35" s="11" t="n">
        <v>0</v>
      </c>
      <c r="D35" s="13" t="inlineStr">
        <is>
          <t>score 0 &lt; 30</t>
        </is>
      </c>
    </row>
    <row r="36">
      <c r="A36" s="11" t="inlineStr">
        <is>
          <t>1057539-129-LP26</t>
        </is>
      </c>
      <c r="B36" s="13" t="inlineStr">
        <is>
          <t>CONVENIO SUMINISTRO OXIGENO Y ARRIENDO ESTANQUE.</t>
        </is>
      </c>
      <c r="C36" s="11" t="n">
        <v>0</v>
      </c>
      <c r="D36" s="13" t="inlineStr">
        <is>
          <t>score 0 &lt; 30</t>
        </is>
      </c>
    </row>
    <row r="37">
      <c r="A37" s="11" t="inlineStr">
        <is>
          <t>1057547-350-LR26</t>
        </is>
      </c>
      <c r="B37" s="13" t="inlineStr">
        <is>
          <t>ADQUISICION PROTESIS CADERAS CON COMODATO INSTRUMENTAL QUIRURGICO</t>
        </is>
      </c>
      <c r="C37" s="11" t="n">
        <v>0</v>
      </c>
      <c r="D37" s="13" t="inlineStr">
        <is>
          <t>score 0 &lt; 30</t>
        </is>
      </c>
    </row>
    <row r="38">
      <c r="A38" s="11" t="inlineStr">
        <is>
          <t>1057552-19-LE26</t>
        </is>
      </c>
      <c r="B38" s="13" t="inlineStr">
        <is>
          <t>Convenio de Suministro Materiales de Oficina</t>
        </is>
      </c>
      <c r="C38" s="11" t="n">
        <v>10</v>
      </c>
      <c r="D38" s="13" t="inlineStr">
        <is>
          <t>solo mencion de inmueble, sin servicio inmobiliario</t>
        </is>
      </c>
    </row>
    <row r="39">
      <c r="A39" s="11" t="inlineStr">
        <is>
          <t>1057898-95-LE26</t>
        </is>
      </c>
      <c r="B39" s="13" t="inlineStr">
        <is>
          <t>ADQUISICIÓN EQUIPOS Y EQUIPAMIENTO DE REHABILITACIÓN PARA EL CENTRO DE SALUD FAMILIAR Y SAR DURAN TRUJILLO SAN CARLOS SERVICIO DE SALUD ÑUBLE</t>
        </is>
      </c>
      <c r="C39" s="11" t="n">
        <v>0</v>
      </c>
      <c r="D39" s="13" t="inlineStr">
        <is>
          <t>score 0 &lt; 30</t>
        </is>
      </c>
    </row>
    <row r="40">
      <c r="A40" s="11" t="inlineStr">
        <is>
          <t>1057962-9-LE26</t>
        </is>
      </c>
      <c r="B40" s="13" t="inlineStr">
        <is>
          <t>CAMBIOS DE VENTANAS PARA EDIFICIO PRINCIPAL Y OTROS ESTABLECIMIENTOS SSC</t>
        </is>
      </c>
      <c r="C40" s="11" t="n">
        <v>14</v>
      </c>
      <c r="D40" s="13" t="inlineStr">
        <is>
          <t>score 14 &lt; 30</t>
        </is>
      </c>
    </row>
    <row r="41">
      <c r="A41" s="11" t="inlineStr">
        <is>
          <t>1057977-14-LE26</t>
        </is>
      </c>
      <c r="B41" s="13" t="inlineStr">
        <is>
          <t>Ampliacion RX dental box medicos y bodegas H.Futa</t>
        </is>
      </c>
      <c r="C41" s="11" t="n">
        <v>7</v>
      </c>
      <c r="D41" s="13" t="inlineStr">
        <is>
          <t>solo mencion de inmueble, sin servicio inmobiliario</t>
        </is>
      </c>
    </row>
    <row r="42">
      <c r="A42" s="11" t="inlineStr">
        <is>
          <t>1058012-28-LE26</t>
        </is>
      </c>
      <c r="B42" s="13" t="inlineStr">
        <is>
          <t>MEDICAMENTO SEVOFLURANO CON EQUIPO EN COMODATO</t>
        </is>
      </c>
      <c r="C42" s="11" t="n">
        <v>0</v>
      </c>
      <c r="D42" s="13" t="inlineStr">
        <is>
          <t>score 0 &lt; 30</t>
        </is>
      </c>
    </row>
    <row r="43">
      <c r="A43" s="11" t="inlineStr">
        <is>
          <t>1058086-49-LP26</t>
        </is>
      </c>
      <c r="B43" s="13" t="inlineStr">
        <is>
          <t xml:space="preserve">SUMINISTRO PROPOFOL ASOCIADO AL COMODATO DE BOMBAS DE INFUSIÓN CON MODELOS FARMACOCINÉTICOS </t>
        </is>
      </c>
      <c r="C43" s="11" t="n">
        <v>0</v>
      </c>
      <c r="D43" s="13" t="inlineStr">
        <is>
          <t>score 0 &lt; 30</t>
        </is>
      </c>
    </row>
    <row r="44">
      <c r="A44" s="11" t="inlineStr">
        <is>
          <t>1063538-222-LE26</t>
        </is>
      </c>
      <c r="B44" s="13" t="inlineStr">
        <is>
          <t>SERVICIO DE ARRIENDO LÁMPARAS QUIRÚRGICAS DOBLE</t>
        </is>
      </c>
      <c r="C44" s="11" t="n">
        <v>0</v>
      </c>
      <c r="D44" s="13" t="inlineStr">
        <is>
          <t>score 0 &lt; 30</t>
        </is>
      </c>
    </row>
    <row r="45">
      <c r="A45" s="11" t="inlineStr">
        <is>
          <t>1070620-89-LP26</t>
        </is>
      </c>
      <c r="B45" s="13" t="inlineStr">
        <is>
          <t>PZM-SUM ENVOLTURAS ESTERILIZACION +EQUIPO COMODATO</t>
        </is>
      </c>
      <c r="C45" s="11" t="n">
        <v>0</v>
      </c>
      <c r="D45" s="13" t="inlineStr">
        <is>
          <t>score 0 &lt; 30</t>
        </is>
      </c>
    </row>
    <row r="46">
      <c r="A46" s="11" t="inlineStr">
        <is>
          <t>1070620-93-LP26</t>
        </is>
      </c>
      <c r="B46" s="13" t="inlineStr">
        <is>
          <t>PVE TOALLAS DE PAPEL CON DISPENSADORES EN COMODATO</t>
        </is>
      </c>
      <c r="C46" s="11" t="n">
        <v>0</v>
      </c>
      <c r="D46" s="13" t="inlineStr">
        <is>
          <t>score 0 &lt; 30</t>
        </is>
      </c>
    </row>
    <row r="47">
      <c r="A47" s="11" t="inlineStr">
        <is>
          <t>1070620-95-LE26</t>
        </is>
      </c>
      <c r="B47" s="13" t="inlineStr">
        <is>
          <t>PVE TRASLADO DE PACIENTES RADIOYODADOS DESDE AFTA</t>
        </is>
      </c>
      <c r="C47" s="11" t="n">
        <v>0</v>
      </c>
      <c r="D47" s="13" t="inlineStr">
        <is>
          <t>score 0 &lt; 30</t>
        </is>
      </c>
    </row>
    <row r="48">
      <c r="A48" s="11" t="inlineStr">
        <is>
          <t>1070620-96-LP26</t>
        </is>
      </c>
      <c r="B48" s="13" t="inlineStr">
        <is>
          <t>PVE FRESAS NEUROQUIRURGICAS CON EQUIPO EN COMODATO</t>
        </is>
      </c>
      <c r="C48" s="11" t="n">
        <v>0</v>
      </c>
      <c r="D48" s="13" t="inlineStr">
        <is>
          <t>score 0 &lt; 30</t>
        </is>
      </c>
    </row>
    <row r="49">
      <c r="A49" s="11" t="inlineStr">
        <is>
          <t>1075963-370-LE26</t>
        </is>
      </c>
      <c r="B49" s="13" t="inlineStr">
        <is>
          <t>ARRIENDO CON OPCION DE COMPRA SECADOR KAESER REFRIGERATIVO KYOSEC POR 3 MESES</t>
        </is>
      </c>
      <c r="C49" s="11" t="n">
        <v>0</v>
      </c>
      <c r="D49" s="13" t="inlineStr">
        <is>
          <t>score 0 &lt; 30</t>
        </is>
      </c>
    </row>
    <row r="50">
      <c r="A50" s="11" t="inlineStr">
        <is>
          <t>1075963-403-L126</t>
        </is>
      </c>
      <c r="B50" s="13" t="inlineStr">
        <is>
          <t>ARRIENDO SISTEMA MONITOREO EN LINEA PARA REFRIGERADORES DE FARMACOS ONCOLOGICOS</t>
        </is>
      </c>
      <c r="C50" s="11" t="n">
        <v>15</v>
      </c>
      <c r="D50" s="13" t="inlineStr">
        <is>
          <t>score 15 &lt; 30</t>
        </is>
      </c>
    </row>
    <row r="51">
      <c r="A51" s="11" t="inlineStr">
        <is>
          <t>1076710-10-LP26</t>
        </is>
      </c>
      <c r="B51" s="13" t="inlineStr">
        <is>
          <t xml:space="preserve">SUMINISTRO OFICINALES Y MAGISTRALES POR 12 MESES </t>
        </is>
      </c>
      <c r="C51" s="11" t="n">
        <v>10</v>
      </c>
      <c r="D51" s="13" t="inlineStr">
        <is>
          <t>solo mencion de inmueble, sin servicio inmobiliario</t>
        </is>
      </c>
    </row>
    <row r="52">
      <c r="A52" s="11" t="inlineStr">
        <is>
          <t>1079445-41-LE26</t>
        </is>
      </c>
      <c r="B52" s="13" t="inlineStr">
        <is>
          <t>ADQ. VENTANAS Y PUERTAS CASAS VILLA LAS NACIONES</t>
        </is>
      </c>
      <c r="C52" s="11" t="n">
        <v>11</v>
      </c>
      <c r="D52" s="13" t="inlineStr">
        <is>
          <t>score 11 &lt; 30</t>
        </is>
      </c>
    </row>
    <row r="53">
      <c r="A53" s="11" t="inlineStr">
        <is>
          <t>1079445-42-LE26</t>
        </is>
      </c>
      <c r="B53" s="13" t="inlineStr">
        <is>
          <t>ADQ. VENTANAS CASAS ANEXAS RETEN PAMPA GUANACO</t>
        </is>
      </c>
      <c r="C53" s="11" t="n">
        <v>11</v>
      </c>
      <c r="D53" s="13" t="inlineStr">
        <is>
          <t>score 11 &lt; 30</t>
        </is>
      </c>
    </row>
    <row r="54">
      <c r="A54" s="11" t="inlineStr">
        <is>
          <t>1079969-20-LE26</t>
        </is>
      </c>
      <c r="B54" s="13" t="inlineStr">
        <is>
          <t>MANTENCIÓN Y REMODELACIÓN 1ER SUBTERRÁNEO EDIFICIO</t>
        </is>
      </c>
      <c r="C54" s="11" t="n">
        <v>8</v>
      </c>
      <c r="D54" s="13" t="inlineStr">
        <is>
          <t>solo mencion de inmueble, sin servicio inmobiliario</t>
        </is>
      </c>
    </row>
    <row r="55">
      <c r="A55" s="11" t="inlineStr">
        <is>
          <t>1082957-29-LE26</t>
        </is>
      </c>
      <c r="B55" s="13" t="inlineStr">
        <is>
          <t>Servicios de provisión e instalación de cortinas duo roller para las dependencias de ProChile ubicadas en la Región Metropolitana comuna de Santiago.</t>
        </is>
      </c>
      <c r="C55" s="11" t="n">
        <v>8</v>
      </c>
      <c r="D55" s="13" t="inlineStr">
        <is>
          <t>solo mencion de inmueble, sin servicio inmobiliario</t>
        </is>
      </c>
    </row>
    <row r="56">
      <c r="A56" s="11" t="inlineStr">
        <is>
          <t>1085111-23-O126</t>
        </is>
      </c>
      <c r="B56" s="13" t="inlineStr">
        <is>
          <t>CONSERVACIÓN TECHUMBRE EDIFICIO SERVIU ÑUBLE</t>
        </is>
      </c>
      <c r="C56" s="11" t="n">
        <v>8</v>
      </c>
      <c r="D56" s="13" t="inlineStr">
        <is>
          <t>solo mencion de inmueble, sin servicio inmobiliario</t>
        </is>
      </c>
    </row>
    <row r="57">
      <c r="A57" s="11" t="inlineStr">
        <is>
          <t>1095-10-LE26</t>
        </is>
      </c>
      <c r="B57" s="13" t="inlineStr">
        <is>
          <t>ARRIENDO DE DOS EXCAVADORAS ORUGAS 250 HORAS</t>
        </is>
      </c>
      <c r="C57" s="11" t="n">
        <v>0</v>
      </c>
      <c r="D57" s="13" t="inlineStr">
        <is>
          <t>score 0 &lt; 30</t>
        </is>
      </c>
    </row>
    <row r="58">
      <c r="A58" s="11" t="inlineStr">
        <is>
          <t>1095-11-LE26</t>
        </is>
      </c>
      <c r="B58" s="13" t="inlineStr">
        <is>
          <t>ARRIENDO DE TRES EXCAVADORAS ORUGAS 420 HORAS</t>
        </is>
      </c>
      <c r="C58" s="11" t="n">
        <v>0</v>
      </c>
      <c r="D58" s="13" t="inlineStr">
        <is>
          <t>score 0 &lt; 30</t>
        </is>
      </c>
    </row>
    <row r="59">
      <c r="A59" s="11" t="inlineStr">
        <is>
          <t>1096-15-O126</t>
        </is>
      </c>
      <c r="B59" s="13" t="inlineStr">
        <is>
          <t>ATIF HABILITACIÓN CALLE DE RODAJE ALFA Y OBRAS ANEXAS AEROPUERTO PUNTA AREN</t>
        </is>
      </c>
      <c r="C59" s="11" t="n">
        <v>0</v>
      </c>
      <c r="D59" s="13" t="inlineStr">
        <is>
          <t>score 0 &lt; 30</t>
        </is>
      </c>
    </row>
    <row r="60">
      <c r="A60" s="11" t="inlineStr">
        <is>
          <t>1106-22-LP26</t>
        </is>
      </c>
      <c r="B60" s="13" t="inlineStr">
        <is>
          <t>Serv Arriendo Eq para faenas de Colocacion asfalto</t>
        </is>
      </c>
      <c r="C60" s="11" t="n">
        <v>0</v>
      </c>
      <c r="D60" s="13" t="inlineStr">
        <is>
          <t>score 0 &lt; 30</t>
        </is>
      </c>
    </row>
    <row r="61">
      <c r="A61" s="11" t="inlineStr">
        <is>
          <t>1116006-4-LE26</t>
        </is>
      </c>
      <c r="B61" s="13" t="inlineStr">
        <is>
          <t>Corte de Árboles dependencias Aeródromo Tte. Vidal</t>
        </is>
      </c>
      <c r="C61" s="11" t="n">
        <v>8</v>
      </c>
      <c r="D61" s="13" t="inlineStr">
        <is>
          <t>solo mencion de inmueble, sin servicio inmobiliario</t>
        </is>
      </c>
    </row>
    <row r="62">
      <c r="A62" s="11" t="inlineStr">
        <is>
          <t>1126922-36-LP26</t>
        </is>
      </c>
      <c r="B62" s="13" t="inlineStr">
        <is>
          <t>CONTRATO SUMINISTRO MAT PEDAGOGICOS Y OFICINA</t>
        </is>
      </c>
      <c r="C62" s="11" t="n">
        <v>10</v>
      </c>
      <c r="D62" s="13" t="inlineStr">
        <is>
          <t>solo mencion de inmueble, sin servicio inmobiliario</t>
        </is>
      </c>
    </row>
    <row r="63">
      <c r="A63" s="11" t="inlineStr">
        <is>
          <t>1129-7-L126</t>
        </is>
      </c>
      <c r="B63" s="13" t="inlineStr">
        <is>
          <t>SERVICIO DE ARRIENDO Y MANTENCIÓN DE 2 (DOS) DISPENSADORES DE AGUA PURIFICADA CONECTADOS A LA RED DE AGUA POTABLE CON INSTALACION INCLUIDA POR UN PERÍODO DE 36 MESES.</t>
        </is>
      </c>
      <c r="C63" s="11" t="n">
        <v>16</v>
      </c>
      <c r="D63" s="13" t="inlineStr">
        <is>
          <t>score 16 &lt; 30</t>
        </is>
      </c>
    </row>
    <row r="64">
      <c r="A64" s="11" t="inlineStr">
        <is>
          <t>1171317-10-LP26</t>
        </is>
      </c>
      <c r="B64" s="13" t="inlineStr">
        <is>
          <t xml:space="preserve">CONSTRUCCIÓN SEDE SOCIAL AGRUPACIÓN DE MOTOQUEROS CHILLÁN </t>
        </is>
      </c>
      <c r="C64" s="11" t="n">
        <v>8</v>
      </c>
      <c r="D64" s="13" t="inlineStr">
        <is>
          <t>solo mencion de inmueble, sin servicio inmobiliario</t>
        </is>
      </c>
    </row>
    <row r="65">
      <c r="A65" s="11" t="inlineStr">
        <is>
          <t>1175-71-LP26</t>
        </is>
      </c>
      <c r="B65" s="13" t="inlineStr">
        <is>
          <t>8426 “ADQUISICIÓN DE ECOBIÓMETRO PARA COMPLEJO ASISTENCIAL PADRE LAS CASAS”</t>
        </is>
      </c>
      <c r="C65" s="11" t="n">
        <v>5</v>
      </c>
      <c r="D65" s="13" t="inlineStr">
        <is>
          <t>solo mencion de inmueble, sin servicio inmobiliario</t>
        </is>
      </c>
    </row>
    <row r="66">
      <c r="A66" s="11" t="inlineStr">
        <is>
          <t>1175-74-LP26</t>
        </is>
      </c>
      <c r="B66" s="13" t="inlineStr">
        <is>
          <t>6026: “ARRIENDO DE EQUIPOS CRITICOS PARA EL SAMU SSAS”</t>
        </is>
      </c>
      <c r="C66" s="11" t="n">
        <v>0</v>
      </c>
      <c r="D66" s="13" t="inlineStr">
        <is>
          <t>score 0 &lt; 30</t>
        </is>
      </c>
    </row>
    <row r="67">
      <c r="A67" s="11" t="inlineStr">
        <is>
          <t>1180730-38-LE26</t>
        </is>
      </c>
      <c r="B67" s="13" t="inlineStr">
        <is>
          <t>BOLSOS DE TERRENO ESPECIALIDAD CESFAM 18</t>
        </is>
      </c>
      <c r="C67" s="11" t="n">
        <v>9</v>
      </c>
      <c r="D67" s="13" t="inlineStr">
        <is>
          <t>solo mencion de inmueble, sin servicio inmobiliario</t>
        </is>
      </c>
    </row>
    <row r="68">
      <c r="A68" s="11" t="inlineStr">
        <is>
          <t>1186229-28-LE26</t>
        </is>
      </c>
      <c r="B68" s="13" t="inlineStr">
        <is>
          <t>Ropa técnica de trabajo Unidad Atención en terreno</t>
        </is>
      </c>
      <c r="C68" s="11" t="n">
        <v>9</v>
      </c>
      <c r="D68" s="13" t="inlineStr">
        <is>
          <t>solo mencion de inmueble, sin servicio inmobiliario</t>
        </is>
      </c>
    </row>
    <row r="69">
      <c r="A69" s="11" t="inlineStr">
        <is>
          <t>1197-21-L126</t>
        </is>
      </c>
      <c r="B69" s="13" t="inlineStr">
        <is>
          <t>MANTENCIONES Y REPARACIONES MENORES OFICINA DR DE ATACAMA</t>
        </is>
      </c>
      <c r="C69" s="11" t="n">
        <v>10</v>
      </c>
      <c r="D69" s="13" t="inlineStr">
        <is>
          <t>solo mencion de inmueble, sin servicio inmobiliario</t>
        </is>
      </c>
    </row>
    <row r="70">
      <c r="A70" s="11" t="inlineStr">
        <is>
          <t>1197594-17-LE26</t>
        </is>
      </c>
      <c r="B70" s="13" t="inlineStr">
        <is>
          <t>CONSULTORIA PLAN MAESTRO AREAS VERDES Y PAISAJISMO</t>
        </is>
      </c>
      <c r="C70" s="11" t="n">
        <v>16</v>
      </c>
      <c r="D70" s="13" t="inlineStr">
        <is>
          <t>score 16 &lt; 30</t>
        </is>
      </c>
    </row>
    <row r="71">
      <c r="A71" s="11" t="inlineStr">
        <is>
          <t>1198-33-LE26</t>
        </is>
      </c>
      <c r="B71" s="13" t="inlineStr">
        <is>
          <t>MANTENIMIENTO Y REPARACION DE LAS DEPENDENCIAS IND</t>
        </is>
      </c>
      <c r="C71" s="11" t="n">
        <v>8</v>
      </c>
      <c r="D71" s="13" t="inlineStr">
        <is>
          <t>solo mencion de inmueble, sin servicio inmobiliario</t>
        </is>
      </c>
    </row>
    <row r="72">
      <c r="A72" s="11" t="inlineStr">
        <is>
          <t>1208100-8-LP26</t>
        </is>
      </c>
      <c r="B72" s="13" t="inlineStr">
        <is>
          <t xml:space="preserve">SERVICIO DE TRANSPORTE Y TRASLADO DE PASAJEROS PARA LA UNIDAD DE EVALUACIÓN FORMATIVA PARA LA ADOPCIÓN Y EL ACOGIMIENTO UEFAA Y RESIDENCIA FAMILIAR DE ADOLESCENTES DE MACHALÍ </t>
        </is>
      </c>
      <c r="C72" s="11" t="n">
        <v>0</v>
      </c>
      <c r="D72" s="13" t="inlineStr">
        <is>
          <t>score 0 &lt; 30</t>
        </is>
      </c>
    </row>
    <row r="73">
      <c r="A73" s="11" t="inlineStr">
        <is>
          <t>1216085-59-LP26</t>
        </is>
      </c>
      <c r="B73" s="13" t="inlineStr">
        <is>
          <t>SUMINISTRO EN COMODATO HEMOGLOBINA GLICOSILADA</t>
        </is>
      </c>
      <c r="C73" s="11" t="n">
        <v>0</v>
      </c>
      <c r="D73" s="13" t="inlineStr">
        <is>
          <t>score 0 &lt; 30</t>
        </is>
      </c>
    </row>
    <row r="74">
      <c r="A74" s="11" t="inlineStr">
        <is>
          <t>1224953-26-LE26</t>
        </is>
      </c>
      <c r="B74" s="13" t="inlineStr">
        <is>
          <t>Rehabilitación oral mediante prótesis removibles</t>
        </is>
      </c>
      <c r="C74" s="11" t="n">
        <v>0</v>
      </c>
      <c r="D74" s="13" t="inlineStr">
        <is>
          <t>score 0 &lt; 30</t>
        </is>
      </c>
    </row>
    <row r="75">
      <c r="A75" s="11" t="inlineStr">
        <is>
          <t>1224957-60-LE26</t>
        </is>
      </c>
      <c r="B75" s="13" t="inlineStr">
        <is>
          <t>CONSERVACION DE RECINTOS EDUCACIONALE</t>
        </is>
      </c>
      <c r="C75" s="11" t="n">
        <v>5</v>
      </c>
      <c r="D75" s="13" t="inlineStr">
        <is>
          <t>solo mencion de inmueble, sin servicio inmobiliario</t>
        </is>
      </c>
    </row>
    <row r="76">
      <c r="A76" s="11" t="inlineStr">
        <is>
          <t>1239966-10-LE26</t>
        </is>
      </c>
      <c r="B76" s="13" t="inlineStr">
        <is>
          <t>HABILITACION DE CENTRO AIDIA DE PUERTO NATALES</t>
        </is>
      </c>
      <c r="C76" s="11" t="n">
        <v>0</v>
      </c>
      <c r="D76" s="13" t="inlineStr">
        <is>
          <t>score 0 &lt; 30</t>
        </is>
      </c>
    </row>
    <row r="77">
      <c r="A77" s="11" t="inlineStr">
        <is>
          <t>1247197-66-LP26</t>
        </is>
      </c>
      <c r="B77" s="13" t="inlineStr">
        <is>
          <t>SUMINISTRO DE PRODUCTOS DE OFICINA PARA LA CORESAM</t>
        </is>
      </c>
      <c r="C77" s="11" t="n">
        <v>10</v>
      </c>
      <c r="D77" s="13" t="inlineStr">
        <is>
          <t>solo mencion de inmueble, sin servicio inmobiliario</t>
        </is>
      </c>
    </row>
    <row r="78">
      <c r="A78" s="11" t="inlineStr">
        <is>
          <t>1256505-28-LE26</t>
        </is>
      </c>
      <c r="B78" s="13" t="inlineStr">
        <is>
          <t>CONSERVACIÓN Y HABILITACIÓN SALA SENSORIAL EZN</t>
        </is>
      </c>
      <c r="C78" s="11" t="n">
        <v>0</v>
      </c>
      <c r="D78" s="13" t="inlineStr">
        <is>
          <t>score 0 &lt; 30</t>
        </is>
      </c>
    </row>
    <row r="79">
      <c r="A79" s="11" t="inlineStr">
        <is>
          <t>1261592-54-LE26</t>
        </is>
      </c>
      <c r="B79" s="13" t="inlineStr">
        <is>
          <t xml:space="preserve">INSTALACIÓN Y HABILITACIÓN DE HUERTO COMUNITARIO </t>
        </is>
      </c>
      <c r="C79" s="11" t="n">
        <v>0</v>
      </c>
      <c r="D79" s="13" t="inlineStr">
        <is>
          <t>score 0 &lt; 30</t>
        </is>
      </c>
    </row>
    <row r="80">
      <c r="A80" s="11" t="inlineStr">
        <is>
          <t>1271359-120-B226</t>
        </is>
      </c>
      <c r="B80" s="13" t="inlineStr">
        <is>
          <t>ARRIENDO MODULOS Y PASILLOS DE CIRCULACIÓN - C.BAUZA</t>
        </is>
      </c>
      <c r="C80" s="11" t="n">
        <v>14</v>
      </c>
      <c r="D80" s="13" t="inlineStr">
        <is>
          <t>score 14 &lt; 30</t>
        </is>
      </c>
    </row>
    <row r="81">
      <c r="A81" s="11" t="inlineStr">
        <is>
          <t>1298354-27-LE26</t>
        </is>
      </c>
      <c r="B81" s="13" t="inlineStr">
        <is>
          <t>Conservación y Habilitación Salas y Muros</t>
        </is>
      </c>
      <c r="C81" s="11" t="n">
        <v>0</v>
      </c>
      <c r="D81" s="13" t="inlineStr">
        <is>
          <t>score 0 &lt; 30</t>
        </is>
      </c>
    </row>
    <row r="82">
      <c r="A82" s="11" t="inlineStr">
        <is>
          <t>1340-51-LE26</t>
        </is>
      </c>
      <c r="B82" s="13" t="inlineStr">
        <is>
          <t>SERVICIO DE MANTENCION Y REPARACION DE INSTALACIONES Cierre Perimetral Con pilar metálico y brazo soldado de 60x60 Malla Urbana Acmafor con 3 portones 6 metros Recinto PAC 001 Valdivia – Dirección de Vialidad Región de Los Ríos.</t>
        </is>
      </c>
      <c r="C82" s="11" t="n">
        <v>5</v>
      </c>
      <c r="D82" s="13" t="inlineStr">
        <is>
          <t>solo mencion de inmueble, sin servicio inmobiliario</t>
        </is>
      </c>
    </row>
    <row r="83">
      <c r="A83" s="11" t="inlineStr">
        <is>
          <t>1346284-10-LE26</t>
        </is>
      </c>
      <c r="B83" s="13" t="inlineStr">
        <is>
          <t>ADQUISICIÓN CONTEINER PLEGABLE TRASLADO Y MONTAJE</t>
        </is>
      </c>
      <c r="C83" s="11" t="n">
        <v>6</v>
      </c>
      <c r="D83" s="13" t="inlineStr">
        <is>
          <t>score 6 &lt; 30</t>
        </is>
      </c>
    </row>
    <row r="84">
      <c r="A84" s="11" t="inlineStr">
        <is>
          <t>1346284-11-LE26</t>
        </is>
      </c>
      <c r="B84" s="13" t="inlineStr">
        <is>
          <t>ADQUISICIÓN CONTEINER PLEGABLE TRASLADO Y MONTAJE</t>
        </is>
      </c>
      <c r="C84" s="11" t="n">
        <v>6</v>
      </c>
      <c r="D84" s="13" t="inlineStr">
        <is>
          <t>score 6 &lt; 30</t>
        </is>
      </c>
    </row>
    <row r="85">
      <c r="A85" s="11" t="inlineStr">
        <is>
          <t>1348-5-LP26</t>
        </is>
      </c>
      <c r="B85" s="13" t="inlineStr">
        <is>
          <t>HABILITACIÓN OFICINA REGISTRO CIVIL PURRANQUE</t>
        </is>
      </c>
      <c r="C85" s="11" t="n">
        <v>16</v>
      </c>
      <c r="D85" s="13" t="inlineStr">
        <is>
          <t>score 16 &lt; 30</t>
        </is>
      </c>
    </row>
    <row r="86">
      <c r="A86" s="11" t="inlineStr">
        <is>
          <t>1350296-80-LE26</t>
        </is>
      </c>
      <c r="B86" s="13" t="inlineStr">
        <is>
          <t>SERVICIO DE ARRIENDO DE DISPENSADORES DE AGUA PURIFICADA CALIENTE Y FRÍA CON CONEXIÓN A LA RED DE AGUA POTABLE PARA EL HOSPITAL DE ALTO HOSPICIO POR UN PERÍODO DE 24 MESES</t>
        </is>
      </c>
      <c r="C86" s="11" t="n">
        <v>0</v>
      </c>
      <c r="D86" s="13" t="inlineStr">
        <is>
          <t>score 0 &lt; 30</t>
        </is>
      </c>
    </row>
    <row r="87">
      <c r="A87" s="11" t="inlineStr">
        <is>
          <t>1351-6-LP26</t>
        </is>
      </c>
      <c r="B87" s="13" t="inlineStr">
        <is>
          <t>SERVICIO HABILITACIÓN DE OFICINA QUILPUÉ</t>
        </is>
      </c>
      <c r="C87" s="11" t="n">
        <v>16</v>
      </c>
      <c r="D87" s="13" t="inlineStr">
        <is>
          <t>score 16 &lt; 30</t>
        </is>
      </c>
    </row>
    <row r="88">
      <c r="A88" s="11" t="inlineStr">
        <is>
          <t>1374899-36-LP26</t>
        </is>
      </c>
      <c r="B88" s="13" t="inlineStr">
        <is>
          <t>CONVENIO DE SUMINISTRO DE FÁRMACO PROPOFOL CON BOMBAS DE INFUSIÓN TIVATCI EN COMODATO</t>
        </is>
      </c>
      <c r="C88" s="11" t="n">
        <v>0</v>
      </c>
      <c r="D88" s="13" t="inlineStr">
        <is>
          <t>score 0 &lt; 30</t>
        </is>
      </c>
    </row>
    <row r="89">
      <c r="A89" s="11" t="inlineStr">
        <is>
          <t>1375158-7-LP26</t>
        </is>
      </c>
      <c r="B89" s="13" t="inlineStr">
        <is>
          <t>ADQUISICIÓN DE VEINTICUATRO 24 SIERRAS DE AUTOPSIA Y UN 01 PACK EQUIPOS DE REFRIGERACIÓNCONGELACIÓN PARA DEPARTAMENTO DE TANATOLOGÍA DEL NUEVO EDIFICIO INSTITUCIONAL DEL SERVICIO MÉDICO LEGAL DE SANTIAGO</t>
        </is>
      </c>
      <c r="C89" s="11" t="n">
        <v>8</v>
      </c>
      <c r="D89" s="13" t="inlineStr">
        <is>
          <t>solo mencion de inmueble, sin servicio inmobiliario</t>
        </is>
      </c>
    </row>
    <row r="90">
      <c r="A90" s="11" t="inlineStr">
        <is>
          <t>1375746-17-LP26</t>
        </is>
      </c>
      <c r="B90" s="13" t="inlineStr">
        <is>
          <t xml:space="preserve">SERV LEVANTAMIENTO DE INVENTARIO ACTIVO FIJO SLEP </t>
        </is>
      </c>
      <c r="C90" s="11" t="n">
        <v>13</v>
      </c>
      <c r="D90" s="13" t="inlineStr">
        <is>
          <t>score 13 &lt; 30</t>
        </is>
      </c>
    </row>
    <row r="91">
      <c r="A91" s="11" t="inlineStr">
        <is>
          <t>1391828-8-LE26</t>
        </is>
      </c>
      <c r="B91" s="13" t="inlineStr">
        <is>
          <t>Informes Técnicos Destinación Inmuebles y DAA</t>
        </is>
      </c>
      <c r="C91" s="11" t="n">
        <v>14</v>
      </c>
      <c r="D91" s="13" t="inlineStr">
        <is>
          <t>solo mencion de inmueble, sin servicio inmobiliario</t>
        </is>
      </c>
    </row>
    <row r="92">
      <c r="A92" s="11" t="inlineStr">
        <is>
          <t>1417913-116-LE26</t>
        </is>
      </c>
      <c r="B92" s="13" t="inlineStr">
        <is>
          <t>ADQUISICIÓN DE EQUIPOS TECNOLÓGICOS PARA DEPENDENCIAS DE CORMUDESI</t>
        </is>
      </c>
      <c r="C92" s="11" t="n">
        <v>11</v>
      </c>
      <c r="D92" s="13" t="inlineStr">
        <is>
          <t>score 11 &lt; 30</t>
        </is>
      </c>
    </row>
    <row r="93">
      <c r="A93" s="11" t="inlineStr">
        <is>
          <t>1417913-119-LE26</t>
        </is>
      </c>
      <c r="B93" s="13" t="inlineStr">
        <is>
          <t>ADQUISICIÓN DE EQUIPAMIENTO PARA LA EJECUCIÓN Y FORTALECIMIENTO DE PROGRAMAS DEL DEPARTAMENTO DE SALUD DE CORMUDESI</t>
        </is>
      </c>
      <c r="C93" s="11" t="n">
        <v>5</v>
      </c>
      <c r="D93" s="13" t="inlineStr">
        <is>
          <t>solo mencion de inmueble, sin servicio inmobiliario</t>
        </is>
      </c>
    </row>
    <row r="94">
      <c r="A94" s="11" t="inlineStr">
        <is>
          <t>1417913-122-LE26</t>
        </is>
      </c>
      <c r="B94" s="13" t="inlineStr">
        <is>
          <t>ADQUISICIÓN DE ELEMENTOS DE PROTECCIÓN PERSONAL EPP PARA FUNCIONARIOS Y ESTABLECIMIENTOS DEPENDIENTES DEL DEPARTAMENTO DE SALUD DE CORMUDESI</t>
        </is>
      </c>
      <c r="C94" s="11" t="n">
        <v>5</v>
      </c>
      <c r="D94" s="13" t="inlineStr">
        <is>
          <t>solo mencion de inmueble, sin servicio inmobiliario</t>
        </is>
      </c>
    </row>
    <row r="95">
      <c r="A95" s="11" t="inlineStr">
        <is>
          <t>1422824-10-LE26</t>
        </is>
      </c>
      <c r="B95" s="13" t="inlineStr">
        <is>
          <t>CONTRATO DE SUMINISTRO DE CINTAS PARA PRUEBA DEL BIOSENSOR DE CREATININA CON EQUIPO EN COMODATO PARA LA UNIDAD DE IMAGENOLOGÍA COMPLEJA DEL HOSPITAL CARLOS VAN BUREN</t>
        </is>
      </c>
      <c r="C95" s="11" t="n">
        <v>0</v>
      </c>
      <c r="D95" s="13" t="inlineStr">
        <is>
          <t>score 0 &lt; 30</t>
        </is>
      </c>
    </row>
    <row r="96">
      <c r="A96" s="11" t="inlineStr">
        <is>
          <t>1422824-25-LP26</t>
        </is>
      </c>
      <c r="B96" s="13" t="inlineStr">
        <is>
          <t>CONTRATO DE SUMINISTRO DE ASAS DE CORTE PARA HISTERO-RESECTOSCOPIA CON EQUIPAMIENTO EN COMODATO PARA EL HOSPITAL CARLOS VAN BUREN</t>
        </is>
      </c>
      <c r="C96" s="11" t="n">
        <v>0</v>
      </c>
      <c r="D96" s="13" t="inlineStr">
        <is>
          <t>score 0 &lt; 30</t>
        </is>
      </c>
    </row>
    <row r="97">
      <c r="A97" s="11" t="inlineStr">
        <is>
          <t>1431841-56-LP26</t>
        </is>
      </c>
      <c r="B97" s="13" t="inlineStr">
        <is>
          <t>Habilitación Sala de Monitoreo y Punto de Cámaras</t>
        </is>
      </c>
      <c r="C97" s="11" t="n">
        <v>8</v>
      </c>
      <c r="D97" s="13" t="inlineStr">
        <is>
          <t>score 8 &lt; 30</t>
        </is>
      </c>
    </row>
    <row r="98">
      <c r="A98" s="11" t="inlineStr">
        <is>
          <t>1431841-57-LE26</t>
        </is>
      </c>
      <c r="B98" s="13" t="inlineStr">
        <is>
          <t>MEJORAMIENTO DEPENDENCIAS OLN COMUNA DE RECOLETA</t>
        </is>
      </c>
      <c r="C98" s="11" t="n">
        <v>8</v>
      </c>
      <c r="D98" s="13" t="inlineStr">
        <is>
          <t>solo mencion de inmueble, sin servicio inmobiliario</t>
        </is>
      </c>
    </row>
    <row r="99">
      <c r="A99" s="11" t="inlineStr">
        <is>
          <t>1469101-6-LP26</t>
        </is>
      </c>
      <c r="B99" s="13" t="inlineStr">
        <is>
          <t>SERVICIOS DE OBRAS DE HABILITACIÓN RFA MACHALI</t>
        </is>
      </c>
      <c r="C99" s="11" t="n">
        <v>13</v>
      </c>
      <c r="D99" s="13" t="inlineStr">
        <is>
          <t>score 13 &lt; 30</t>
        </is>
      </c>
    </row>
    <row r="100">
      <c r="A100" s="11" t="inlineStr">
        <is>
          <t>1469-205-L126</t>
        </is>
      </c>
      <c r="B100" s="13" t="inlineStr">
        <is>
          <t>SERVICIO PROVISIÓN E INSTALACIÓN EQUIPOS DE CLIMATIZACIÓN PARA OFICINAS VDE DE LA UNIVERSIDAD DE TALCA</t>
        </is>
      </c>
      <c r="C100" s="11" t="n">
        <v>10</v>
      </c>
      <c r="D100" s="13" t="inlineStr">
        <is>
          <t>solo mencion de inmueble, sin servicio inmobiliario</t>
        </is>
      </c>
    </row>
    <row r="101">
      <c r="A101" s="11" t="inlineStr">
        <is>
          <t>1469-211-L126</t>
        </is>
      </c>
      <c r="B101" s="13" t="inlineStr">
        <is>
          <t>MATERIAL GRÁFICO, TRASLADO, MONTAJE, INSTALACION, SUPERVISIÓN, DESMONTAJE Y RETIRO PARA UTALCA ABRE PUERTAS 2026, UNIVERSIDAD DE TALCA</t>
        </is>
      </c>
      <c r="C101" s="11" t="n">
        <v>0</v>
      </c>
      <c r="D101" s="13" t="inlineStr">
        <is>
          <t>score 0 &lt; 30</t>
        </is>
      </c>
    </row>
    <row r="102">
      <c r="A102" s="11" t="inlineStr">
        <is>
          <t>1483330-1-LP26</t>
        </is>
      </c>
      <c r="B102" s="13" t="inlineStr">
        <is>
          <t>SERVICIO DE ARRIENDO IMPLEMENTACIÓN Y MANTENCIÓN</t>
        </is>
      </c>
      <c r="C102" s="11" t="n">
        <v>0</v>
      </c>
      <c r="D102" s="13" t="inlineStr">
        <is>
          <t>score 0 &lt; 30</t>
        </is>
      </c>
    </row>
    <row r="103">
      <c r="A103" s="11" t="inlineStr">
        <is>
          <t>1499887-19-CO26</t>
        </is>
      </c>
      <c r="B103" s="13" t="inlineStr">
        <is>
          <t>SERVICIOS TÉCNICOS DE HABILITACIÓN DIGITAL</t>
        </is>
      </c>
      <c r="C103" s="11" t="n">
        <v>0</v>
      </c>
      <c r="D103" s="13" t="inlineStr">
        <is>
          <t>score 0 &lt; 30</t>
        </is>
      </c>
    </row>
    <row r="104">
      <c r="A104" s="11" t="inlineStr">
        <is>
          <t>1523-123-LE26</t>
        </is>
      </c>
      <c r="B104" s="13" t="inlineStr">
        <is>
          <t>PPTA 127-26 SERVICIO DE TRASLADO PARA PACIENTES DE</t>
        </is>
      </c>
      <c r="C104" s="11" t="n">
        <v>0</v>
      </c>
      <c r="D104" s="13" t="inlineStr">
        <is>
          <t>score 0 &lt; 30</t>
        </is>
      </c>
    </row>
    <row r="105">
      <c r="A105" s="11" t="inlineStr">
        <is>
          <t>1533460-6-LP26</t>
        </is>
      </c>
      <c r="B105" s="13" t="inlineStr">
        <is>
          <t>SERVICIO DE ARRIENDO DE SISTEMA INFORMÁTICO FINANCIERO CONTABLE Y RECURSOS HUMANOS</t>
        </is>
      </c>
      <c r="C105" s="11" t="n">
        <v>0</v>
      </c>
      <c r="D105" s="13" t="inlineStr">
        <is>
          <t>score 0 &lt; 30</t>
        </is>
      </c>
    </row>
    <row r="106">
      <c r="A106" s="11" t="inlineStr">
        <is>
          <t>1540667-6-LR26</t>
        </is>
      </c>
      <c r="B106" s="13" t="inlineStr">
        <is>
          <t>OBRA REMODELACIÓN SERV MED FÍSICA Y REHABILITACIÓN</t>
        </is>
      </c>
      <c r="C106" s="11" t="n">
        <v>0</v>
      </c>
      <c r="D106" s="13" t="inlineStr">
        <is>
          <t>score 0 &lt; 30</t>
        </is>
      </c>
    </row>
    <row r="107">
      <c r="A107" s="11" t="inlineStr">
        <is>
          <t>1549-70-LR26</t>
        </is>
      </c>
      <c r="B107" s="13" t="inlineStr">
        <is>
          <t>ARRIENDO DE 07 MAQUINAS DE ANESTESIA</t>
        </is>
      </c>
      <c r="C107" s="11" t="n">
        <v>0</v>
      </c>
      <c r="D107" s="13" t="inlineStr">
        <is>
          <t>score 0 &lt; 30</t>
        </is>
      </c>
    </row>
    <row r="108">
      <c r="A108" s="11" t="inlineStr">
        <is>
          <t>1549-85-LE26</t>
        </is>
      </c>
      <c r="B108" s="13" t="inlineStr">
        <is>
          <t>HABILITACIÓN DE BICICLETERO MEL DEL HSJ</t>
        </is>
      </c>
      <c r="C108" s="11" t="n">
        <v>0</v>
      </c>
      <c r="D108" s="13" t="inlineStr">
        <is>
          <t>score 0 &lt; 30</t>
        </is>
      </c>
    </row>
    <row r="109">
      <c r="A109" s="11" t="inlineStr">
        <is>
          <t>1549-90-LP26</t>
        </is>
      </c>
      <c r="B109" s="13" t="inlineStr">
        <is>
          <t>ARRIENDO DE 14 SILLONES DE HEMODIÁLISIS</t>
        </is>
      </c>
      <c r="C109" s="11" t="n">
        <v>0</v>
      </c>
      <c r="D109" s="13" t="inlineStr">
        <is>
          <t>score 0 &lt; 30</t>
        </is>
      </c>
    </row>
    <row r="110">
      <c r="A110" s="11" t="inlineStr">
        <is>
          <t>1555-75-LP26</t>
        </is>
      </c>
      <c r="B110" s="13" t="inlineStr">
        <is>
          <t>CORTADOR QUIRURGICO DE VELLO Y COMODATO DE RASURAD</t>
        </is>
      </c>
      <c r="C110" s="11" t="n">
        <v>0</v>
      </c>
      <c r="D110" s="13" t="inlineStr">
        <is>
          <t>score 0 &lt; 30</t>
        </is>
      </c>
    </row>
    <row r="111">
      <c r="A111" s="11" t="inlineStr">
        <is>
          <t>1562-57-L126</t>
        </is>
      </c>
      <c r="B111" s="13" t="inlineStr">
        <is>
          <t>REPARACIÓN DEL EQUIPO DE FUSIÓN PERL X-3, DEL DEPARTAMENTO LABORATORIOS</t>
        </is>
      </c>
      <c r="C111" s="11" t="n">
        <v>5</v>
      </c>
      <c r="D111" s="13" t="inlineStr">
        <is>
          <t>solo mencion de inmueble, sin servicio inmobiliario</t>
        </is>
      </c>
    </row>
    <row r="112">
      <c r="A112" s="11" t="inlineStr">
        <is>
          <t>1562-59-L126</t>
        </is>
      </c>
      <c r="B112" s="13" t="inlineStr">
        <is>
          <t>REPARACIÓN CON COMPRA DE COMPONENTES ESPECIFICOS, PARA EQUIPO ICP-MS 8800, SERIE: JP13150178, DEL DEPARTAMENTO DE LABORATORIOS</t>
        </is>
      </c>
      <c r="C112" s="11" t="n">
        <v>5</v>
      </c>
      <c r="D112" s="13" t="inlineStr">
        <is>
          <t>solo mencion de inmueble, sin servicio inmobiliario</t>
        </is>
      </c>
    </row>
    <row r="113">
      <c r="A113" s="11" t="inlineStr">
        <is>
          <t>1562-60-LR26</t>
        </is>
      </c>
      <c r="B113" s="13" t="inlineStr">
        <is>
          <t>ARRIENDO INFRAESTRUCTURA DE PROCESAMIENTO Y ALMACE</t>
        </is>
      </c>
      <c r="C113" s="11" t="n">
        <v>12</v>
      </c>
      <c r="D113" s="13" t="inlineStr">
        <is>
          <t>score 12 &lt; 30</t>
        </is>
      </c>
    </row>
    <row r="114">
      <c r="A114" s="11" t="inlineStr">
        <is>
          <t>1574-33-LP26</t>
        </is>
      </c>
      <c r="B114" s="13" t="inlineStr">
        <is>
          <t>SCHEE - CONTRATO SUMINISTRO MANTENCION J.I. Y OFICINAS PROVINCIA DE ELQUI ZONA 1</t>
        </is>
      </c>
      <c r="C114" s="11" t="n">
        <v>10</v>
      </c>
      <c r="D114" s="13" t="inlineStr">
        <is>
          <t>solo mencion de inmueble, sin servicio inmobiliario</t>
        </is>
      </c>
    </row>
    <row r="115">
      <c r="A115" s="11" t="inlineStr">
        <is>
          <t>1574-34-LE26</t>
        </is>
      </c>
      <c r="B115" s="13" t="inlineStr">
        <is>
          <t>CHEE MANT. EMERGENCIA ELQUI REG. COQUIMBO J.I. Y OFICINAS - SC 61183</t>
        </is>
      </c>
      <c r="C115" s="11" t="n">
        <v>10</v>
      </c>
      <c r="D115" s="13" t="inlineStr">
        <is>
          <t>solo mencion de inmueble, sin servicio inmobiliario</t>
        </is>
      </c>
    </row>
    <row r="116">
      <c r="A116" s="11" t="inlineStr">
        <is>
          <t>1574-35-LP26</t>
        </is>
      </c>
      <c r="B116" s="13" t="inlineStr">
        <is>
          <t>SCHEE - CONTRATO SUMINISTRO MANTENCION J.I. Y OFICINAS PROVINCIA DE ELQUI ZONA 2</t>
        </is>
      </c>
      <c r="C116" s="11" t="n">
        <v>10</v>
      </c>
      <c r="D116" s="13" t="inlineStr">
        <is>
          <t>solo mencion de inmueble, sin servicio inmobiliario</t>
        </is>
      </c>
    </row>
    <row r="117">
      <c r="A117" s="11" t="inlineStr">
        <is>
          <t>1575-14-LE26</t>
        </is>
      </c>
      <c r="B117" s="13" t="inlineStr">
        <is>
          <t>MANTENCION DE OFICINAS</t>
        </is>
      </c>
      <c r="C117" s="11" t="n">
        <v>10</v>
      </c>
      <c r="D117" s="13" t="inlineStr">
        <is>
          <t>solo mencion de inmueble, sin servicio inmobiliario</t>
        </is>
      </c>
    </row>
    <row r="118">
      <c r="A118" s="11" t="inlineStr">
        <is>
          <t>1596-50-LP26</t>
        </is>
      </c>
      <c r="B118" s="13" t="inlineStr">
        <is>
          <t>PANTALLA LED PARA EL EDIFICIO DEL GORE MAULE</t>
        </is>
      </c>
      <c r="C118" s="11" t="n">
        <v>8</v>
      </c>
      <c r="D118" s="13" t="inlineStr">
        <is>
          <t>solo mencion de inmueble, sin servicio inmobiliario</t>
        </is>
      </c>
    </row>
    <row r="119">
      <c r="A119" s="11" t="inlineStr">
        <is>
          <t>1643-75-LE26</t>
        </is>
      </c>
      <c r="B119" s="13" t="inlineStr">
        <is>
          <t>ARRIENDO EQUIP. PARA ATENCION DE DONANTES CON DONA</t>
        </is>
      </c>
      <c r="C119" s="11" t="n">
        <v>0</v>
      </c>
      <c r="D119" s="13" t="inlineStr">
        <is>
          <t>score 0 &lt; 30</t>
        </is>
      </c>
    </row>
    <row r="120">
      <c r="A120" s="11" t="inlineStr">
        <is>
          <t>1657-17-L126</t>
        </is>
      </c>
      <c r="B120" s="13" t="inlineStr">
        <is>
          <t>EVALUACIÓN Y SUPERVISIÓN DE CENTROS DE TRATAMIENTO Y REHABILITACIÓN EN CONSUMO PROBLEMÁTICO DE SUSTANCIAS DE LA REGIÓN DE COQUIMBO, CONVENIO SENDA-MINSAL</t>
        </is>
      </c>
      <c r="C120" s="11" t="n">
        <v>10</v>
      </c>
      <c r="D120" s="13" t="inlineStr">
        <is>
          <t>score 10 &lt; 30</t>
        </is>
      </c>
    </row>
    <row r="121">
      <c r="A121" s="11" t="inlineStr">
        <is>
          <t>1696-15-LE26</t>
        </is>
      </c>
      <c r="B121" s="13" t="inlineStr">
        <is>
          <t>Servicio de mantención del sistema de alarmas de incendio en edificios de Blanco Encalada N° 945 y General Lagos N° 766 Arica</t>
        </is>
      </c>
      <c r="C121" s="11" t="n">
        <v>8</v>
      </c>
      <c r="D121" s="13" t="inlineStr">
        <is>
          <t>solo mencion de inmueble, sin servicio inmobiliario</t>
        </is>
      </c>
    </row>
    <row r="122">
      <c r="A122" s="11" t="inlineStr">
        <is>
          <t>1735-50-LE26</t>
        </is>
      </c>
      <c r="B122" s="13" t="inlineStr">
        <is>
          <t>HABILITACION CEFAM DE CONTINGENCIA 3ra. ETAPA TUB</t>
        </is>
      </c>
      <c r="C122" s="11" t="n">
        <v>0</v>
      </c>
      <c r="D122" s="13" t="inlineStr">
        <is>
          <t>score 0 &lt; 30</t>
        </is>
      </c>
    </row>
    <row r="123">
      <c r="A123" s="11" t="inlineStr">
        <is>
          <t>1743-69-LP26</t>
        </is>
      </c>
      <c r="B123" s="13" t="inlineStr">
        <is>
          <t>Construcción Sede Social Manquehua</t>
        </is>
      </c>
      <c r="C123" s="11" t="n">
        <v>8</v>
      </c>
      <c r="D123" s="13" t="inlineStr">
        <is>
          <t>solo mencion de inmueble, sin servicio inmobiliario</t>
        </is>
      </c>
    </row>
    <row r="124">
      <c r="A124" s="11" t="inlineStr">
        <is>
          <t>1754-45-LE26</t>
        </is>
      </c>
      <c r="B124" s="13" t="inlineStr">
        <is>
          <t>OFICINA TIMBRES DIDÁCTICO MENAJE Y PILAS</t>
        </is>
      </c>
      <c r="C124" s="11" t="n">
        <v>10</v>
      </c>
      <c r="D124" s="13" t="inlineStr">
        <is>
          <t>solo mencion de inmueble, sin servicio inmobiliario</t>
        </is>
      </c>
    </row>
    <row r="125">
      <c r="A125" s="11" t="inlineStr">
        <is>
          <t>1810-3-LE26</t>
        </is>
      </c>
      <c r="B125" s="13" t="inlineStr">
        <is>
          <t>HABILITACIÓN MEJORAMIENTO MANTENCIÓN COD. E1O2RT9</t>
        </is>
      </c>
      <c r="C125" s="11" t="n">
        <v>11</v>
      </c>
      <c r="D125" s="13" t="inlineStr">
        <is>
          <t>score 11 &lt; 30</t>
        </is>
      </c>
    </row>
    <row r="126">
      <c r="A126" s="11" t="inlineStr">
        <is>
          <t>1894-25-LP26</t>
        </is>
      </c>
      <c r="B126" s="13" t="inlineStr">
        <is>
          <t>DVO-ARRIENDO MOTONIVELADORAS VARIOS CAMINOS</t>
        </is>
      </c>
      <c r="C126" s="11" t="n">
        <v>0</v>
      </c>
      <c r="D126" s="13" t="inlineStr">
        <is>
          <t>score 0 &lt; 30</t>
        </is>
      </c>
    </row>
    <row r="127">
      <c r="A127" s="11" t="inlineStr">
        <is>
          <t>1947-113-LR26</t>
        </is>
      </c>
      <c r="B127" s="13" t="inlineStr">
        <is>
          <t>CONTRATACIÓN DEL SERVICIO DE NUTRICIONES PARENTERALES DE DIFERENTES VOLÚMENES CON BAJADAS DE BOMBA DE INFUSIÓN Y EQUIPOS EN COMODATO PARA EL HOSPITAL ROBERTO DEL RÍO CFO</t>
        </is>
      </c>
      <c r="C127" s="11" t="n">
        <v>0</v>
      </c>
      <c r="D127" s="13" t="inlineStr">
        <is>
          <t>score 0 &lt; 30</t>
        </is>
      </c>
    </row>
    <row r="128">
      <c r="A128" s="11" t="inlineStr">
        <is>
          <t>1947-157-LE26</t>
        </is>
      </c>
      <c r="B128" s="13" t="inlineStr">
        <is>
          <t>244 ADQUISICIÓN DE REACTIVOS DE TINCIÓN DE GRAM CON EQUIPO EN COMODATO PARA EL HOSPITAL DE NIÑOS DR. ROBERTO DEL RIO CFO</t>
        </is>
      </c>
      <c r="C128" s="11" t="n">
        <v>0</v>
      </c>
      <c r="D128" s="13" t="inlineStr">
        <is>
          <t>score 0 &lt; 30</t>
        </is>
      </c>
    </row>
    <row r="129">
      <c r="A129" s="11" t="inlineStr">
        <is>
          <t>1947-168-LE26</t>
        </is>
      </c>
      <c r="B129" s="13" t="inlineStr">
        <is>
          <t>CONTRATACIÓN DEL SERVICIO DE ARRIENDO DE MONITORES DE SIGNOS VITALES PARA EL HOSPITAL DE NIÑOS DR. ROBERTO DEL RÍO GRS</t>
        </is>
      </c>
      <c r="C129" s="11" t="n">
        <v>0</v>
      </c>
      <c r="D129" s="13" t="inlineStr">
        <is>
          <t>score 0 &lt; 30</t>
        </is>
      </c>
    </row>
    <row r="130">
      <c r="A130" s="11" t="inlineStr">
        <is>
          <t>1969-18-LE26</t>
        </is>
      </c>
      <c r="B130" s="13" t="inlineStr">
        <is>
          <t>SALA DE VENTAS MODULAR PARA CET YUMBEL</t>
        </is>
      </c>
      <c r="C130" s="11" t="n">
        <v>11</v>
      </c>
      <c r="D130" s="13" t="inlineStr">
        <is>
          <t>score 11 &lt; 30</t>
        </is>
      </c>
    </row>
    <row r="131">
      <c r="A131" s="11" t="inlineStr">
        <is>
          <t>1973-97-LP26</t>
        </is>
      </c>
      <c r="B131" s="13" t="inlineStr">
        <is>
          <t>ARRIENDO DE CASILLEROS AUTOATENCIÓN MEDICAMENTOS</t>
        </is>
      </c>
      <c r="C131" s="11" t="n">
        <v>16</v>
      </c>
      <c r="D131" s="13" t="inlineStr">
        <is>
          <t>score 16 &lt; 30</t>
        </is>
      </c>
    </row>
    <row r="132">
      <c r="A132" s="11" t="inlineStr">
        <is>
          <t>1979-192-LE26</t>
        </is>
      </c>
      <c r="B132" s="13" t="inlineStr">
        <is>
          <t>175.26 “ARRIENDO DE EQUIPOS PARA PABELLÓN GINECOLOGICO PARA NODO COSTERO: HOSPITAL NVA IMPERIAL.”</t>
        </is>
      </c>
      <c r="C132" s="11" t="n">
        <v>0</v>
      </c>
      <c r="D132" s="13" t="inlineStr">
        <is>
          <t>score 0 &lt; 30</t>
        </is>
      </c>
    </row>
    <row r="133">
      <c r="A133" s="11" t="inlineStr">
        <is>
          <t>1987-5-LE26</t>
        </is>
      </c>
      <c r="B133" s="13" t="inlineStr">
        <is>
          <t>LP ARRIENDO UNID. MODULARES CONTAO RES EX LAGOS 805-2026 17.09.26 I. 22.09.001</t>
        </is>
      </c>
      <c r="C133" s="11" t="n">
        <v>17</v>
      </c>
      <c r="D133" s="13" t="inlineStr">
        <is>
          <t>score 17 &lt; 30</t>
        </is>
      </c>
    </row>
    <row r="134">
      <c r="A134" s="11" t="inlineStr">
        <is>
          <t>2020-19-LE26</t>
        </is>
      </c>
      <c r="B134" s="13" t="inlineStr">
        <is>
          <t>SERVICIOS MULTITÉCNICOS DE MANTENCIÓN DE OFICINAS</t>
        </is>
      </c>
      <c r="C134" s="11" t="n">
        <v>10</v>
      </c>
      <c r="D134" s="13" t="inlineStr">
        <is>
          <t>solo mencion de inmueble, sin servicio inmobiliario</t>
        </is>
      </c>
    </row>
    <row r="135">
      <c r="A135" s="11" t="inlineStr">
        <is>
          <t>2048-73-LP26</t>
        </is>
      </c>
      <c r="B135" s="13" t="inlineStr">
        <is>
          <t>Servicio de traslado para pacientes H.A.</t>
        </is>
      </c>
      <c r="C135" s="11" t="n">
        <v>0</v>
      </c>
      <c r="D135" s="13" t="inlineStr">
        <is>
          <t>score 0 &lt; 30</t>
        </is>
      </c>
    </row>
    <row r="136">
      <c r="A136" s="11" t="inlineStr">
        <is>
          <t>2078-45-LE26</t>
        </is>
      </c>
      <c r="B136" s="13" t="inlineStr">
        <is>
          <t>APRUEBA Y PUBLICA BASES ADMINISTRATIVAS PARA “SERVICIOS DE TRANSPORTE PARA TRASLADO DE FUNCIONARIOS DE LA UNIDAD DE ZOONOSIS CONCEPCIÓN Y DELEGACIÓN BIOBIO AMBAS DEPENDIENTE DE LA SEREMI DE SALUD REGIÓN DEL BIOBIO”. SC 283-2026 y 377-2026</t>
        </is>
      </c>
      <c r="C136" s="11" t="n">
        <v>0</v>
      </c>
      <c r="D136" s="13" t="inlineStr">
        <is>
          <t>score 0 &lt; 30</t>
        </is>
      </c>
    </row>
    <row r="137">
      <c r="A137" s="11" t="inlineStr">
        <is>
          <t>2098-122-LP26</t>
        </is>
      </c>
      <c r="B137" s="13" t="inlineStr">
        <is>
          <t>CONVENIO ARRIENDO UPS DE 200 KVA</t>
        </is>
      </c>
      <c r="C137" s="11" t="n">
        <v>0</v>
      </c>
      <c r="D137" s="13" t="inlineStr">
        <is>
          <t>score 0 &lt; 30</t>
        </is>
      </c>
    </row>
    <row r="138">
      <c r="A138" s="11" t="inlineStr">
        <is>
          <t>2098-139-LE26</t>
        </is>
      </c>
      <c r="B138" s="13" t="inlineStr">
        <is>
          <t>CONVENIO SUMINISTRO BOLSAS DE ASPIRACIÓN PARA REPOSICIÓN BODEGA FOLIO PAC 200 – PARA UN PERIODO DE 18 MESES</t>
        </is>
      </c>
      <c r="C138" s="11" t="n">
        <v>7</v>
      </c>
      <c r="D138" s="13" t="inlineStr">
        <is>
          <t>solo mencion de inmueble, sin servicio inmobiliario</t>
        </is>
      </c>
    </row>
    <row r="139">
      <c r="A139" s="11" t="inlineStr">
        <is>
          <t>2102-31-LE26</t>
        </is>
      </c>
      <c r="B139" s="13" t="inlineStr">
        <is>
          <t>NORMALIZACION BODEGAS DE FARMACIA Y ECONOMATO</t>
        </is>
      </c>
      <c r="C139" s="11" t="n">
        <v>10</v>
      </c>
      <c r="D139" s="13" t="inlineStr">
        <is>
          <t>score 10 &lt; 30</t>
        </is>
      </c>
    </row>
    <row r="140">
      <c r="A140" s="11" t="inlineStr">
        <is>
          <t>2107-144-LP26</t>
        </is>
      </c>
      <c r="B140" s="13" t="inlineStr">
        <is>
          <t>SUMINISTRO DE IMPLANTES QUIRURGICOS Y ADITAMENTOS PROTESICOS IMPLANTOLOGICOS PARA DEPARTAMENTO ODONTOESTOMATOLOGIA</t>
        </is>
      </c>
      <c r="C140" s="11" t="n">
        <v>5</v>
      </c>
      <c r="D140" s="13" t="inlineStr">
        <is>
          <t>solo mencion de inmueble, sin servicio inmobiliario</t>
        </is>
      </c>
    </row>
    <row r="141">
      <c r="A141" s="11" t="inlineStr">
        <is>
          <t>2111-231-LE26</t>
        </is>
      </c>
      <c r="B141" s="13" t="inlineStr">
        <is>
          <t>ARRIENDO DE EQUIPOS DE MONITORIZACION PARA UTI</t>
        </is>
      </c>
      <c r="C141" s="11" t="n">
        <v>0</v>
      </c>
      <c r="D141" s="13" t="inlineStr">
        <is>
          <t>score 0 &lt; 30</t>
        </is>
      </c>
    </row>
    <row r="142">
      <c r="A142" s="11" t="inlineStr">
        <is>
          <t>2111-270-LP26</t>
        </is>
      </c>
      <c r="B142" s="13" t="inlineStr">
        <is>
          <t>MANTAS TÉRMICAS CON EQUIPO EN COMODATO III</t>
        </is>
      </c>
      <c r="C142" s="11" t="n">
        <v>0</v>
      </c>
      <c r="D142" s="13" t="inlineStr">
        <is>
          <t>score 0 &lt; 30</t>
        </is>
      </c>
    </row>
    <row r="143">
      <c r="A143" s="11" t="inlineStr">
        <is>
          <t>2111-282-LP26</t>
        </is>
      </c>
      <c r="B143" s="13" t="inlineStr">
        <is>
          <t>FRESAS NEUROCIRUGÍA Y COLUMNA EQUIPO COMODATO III</t>
        </is>
      </c>
      <c r="C143" s="11" t="n">
        <v>0</v>
      </c>
      <c r="D143" s="13" t="inlineStr">
        <is>
          <t>score 0 &lt; 30</t>
        </is>
      </c>
    </row>
    <row r="144">
      <c r="A144" s="11" t="inlineStr">
        <is>
          <t>2179-14-LE26</t>
        </is>
      </c>
      <c r="B144" s="13" t="inlineStr">
        <is>
          <t>CONV. DE PRECIOS SERV. DE TRASLADO PERSONAL TEMUCO</t>
        </is>
      </c>
      <c r="C144" s="11" t="n">
        <v>9</v>
      </c>
      <c r="D144" s="13" t="inlineStr">
        <is>
          <t>score 9 &lt; 30</t>
        </is>
      </c>
    </row>
    <row r="145">
      <c r="A145" s="11" t="inlineStr">
        <is>
          <t>2205-14-LE26</t>
        </is>
      </c>
      <c r="B145" s="13" t="inlineStr">
        <is>
          <t>GAS MEDICINAL Y ARRIENDO DE CILINDROS</t>
        </is>
      </c>
      <c r="C145" s="11" t="n">
        <v>0</v>
      </c>
      <c r="D145" s="13" t="inlineStr">
        <is>
          <t>score 0 &lt; 30</t>
        </is>
      </c>
    </row>
    <row r="146">
      <c r="A146" s="11" t="inlineStr">
        <is>
          <t>2258-175-LR26</t>
        </is>
      </c>
      <c r="B146" s="13" t="inlineStr">
        <is>
          <t>TEST MOLECULARES CON ENTREGA DE EQUIPOS EN COMODATO PARA LA UNIDAD DE LABORATORIO CLÍNICO</t>
        </is>
      </c>
      <c r="C146" s="11" t="n">
        <v>0</v>
      </c>
      <c r="D146" s="13" t="inlineStr">
        <is>
          <t>score 0 &lt; 30</t>
        </is>
      </c>
    </row>
    <row r="147">
      <c r="A147" s="11" t="inlineStr">
        <is>
          <t>2258-37-LR26</t>
        </is>
      </c>
      <c r="B147" s="13" t="inlineStr">
        <is>
          <t>TEST REPORTADO QUIMICA INMUNOLOGIA SEROLOGIA HORMONAS HEMATOLOGIA GASOMETRIA EN EQUIPOS EN COMODATO</t>
        </is>
      </c>
      <c r="C147" s="11" t="n">
        <v>0</v>
      </c>
      <c r="D147" s="13" t="inlineStr">
        <is>
          <t>score 0 &lt; 30</t>
        </is>
      </c>
    </row>
    <row r="148">
      <c r="A148" s="11" t="inlineStr">
        <is>
          <t>2273-58-LE26</t>
        </is>
      </c>
      <c r="B148" s="13" t="inlineStr">
        <is>
          <t>REHABILITACIÓN SKATE PARK LO MARTÍNEZ</t>
        </is>
      </c>
      <c r="C148" s="11" t="n">
        <v>0</v>
      </c>
      <c r="D148" s="13" t="inlineStr">
        <is>
          <t>score 0 &lt; 30</t>
        </is>
      </c>
    </row>
    <row r="149">
      <c r="A149" s="11" t="inlineStr">
        <is>
          <t>2279-56-LE26</t>
        </is>
      </c>
      <c r="B149" s="13" t="inlineStr">
        <is>
          <t>SP 567 ADQUISICION E INSTALACION DE MODULOS DE OFICINA</t>
        </is>
      </c>
      <c r="C149" s="11" t="n">
        <v>10</v>
      </c>
      <c r="D149" s="13" t="inlineStr">
        <is>
          <t>solo mencion de inmueble, sin servicio inmobiliario</t>
        </is>
      </c>
    </row>
    <row r="150">
      <c r="A150" s="11" t="inlineStr">
        <is>
          <t>2279-66-LE26</t>
        </is>
      </c>
      <c r="B150" s="13" t="inlineStr">
        <is>
          <t>SP 754 Servicio de Arriendo de Bodegas</t>
        </is>
      </c>
      <c r="C150" s="11" t="n">
        <v>19</v>
      </c>
      <c r="D150" s="13" t="inlineStr">
        <is>
          <t>score 19 &lt; 30</t>
        </is>
      </c>
    </row>
    <row r="151">
      <c r="A151" s="11" t="inlineStr">
        <is>
          <t>2282-97-LR26</t>
        </is>
      </c>
      <c r="B151" s="13" t="inlineStr">
        <is>
          <t>PP 192-2025 ARRIENDO DE SISTEMA PARA LA GESTIÓN DE</t>
        </is>
      </c>
      <c r="C151" s="11" t="n">
        <v>0</v>
      </c>
      <c r="D151" s="13" t="inlineStr">
        <is>
          <t>score 0 &lt; 30</t>
        </is>
      </c>
    </row>
    <row r="152">
      <c r="A152" s="11" t="inlineStr">
        <is>
          <t>2287-25-LP26</t>
        </is>
      </c>
      <c r="B152" s="13" t="inlineStr">
        <is>
          <t>HABILITACIÓN PLAZAS 1 Y 3 PASAJE 9 BARRIO CAUPOLI</t>
        </is>
      </c>
      <c r="C152" s="11" t="n">
        <v>0</v>
      </c>
      <c r="D152" s="13" t="inlineStr">
        <is>
          <t>score 0 &lt; 30</t>
        </is>
      </c>
    </row>
    <row r="153">
      <c r="A153" s="11" t="inlineStr">
        <is>
          <t>2313-5-LE26</t>
        </is>
      </c>
      <c r="B153" s="13" t="inlineStr">
        <is>
          <t>Servicios de Conservación de Edificio Terminal</t>
        </is>
      </c>
      <c r="C153" s="11" t="n">
        <v>8</v>
      </c>
      <c r="D153" s="13" t="inlineStr">
        <is>
          <t>solo mencion de inmueble, sin servicio inmobiliario</t>
        </is>
      </c>
    </row>
    <row r="154">
      <c r="A154" s="11" t="inlineStr">
        <is>
          <t>2322-82-LE26</t>
        </is>
      </c>
      <c r="B154" s="13" t="inlineStr">
        <is>
          <t>Adquisición de teléfonos IP para dependencias Municipales</t>
        </is>
      </c>
      <c r="C154" s="11" t="n">
        <v>8</v>
      </c>
      <c r="D154" s="13" t="inlineStr">
        <is>
          <t>solo mencion de inmueble, sin servicio inmobiliario</t>
        </is>
      </c>
    </row>
    <row r="155">
      <c r="A155" s="11" t="inlineStr">
        <is>
          <t>2324-112-LE26</t>
        </is>
      </c>
      <c r="B155" s="13" t="inlineStr">
        <is>
          <t xml:space="preserve">LICITACION PÚBLICA N° 107 2026 SERVICIO ARRIENDO DE 3 EQUIPOS STARLINK MINI O EQUIVALENTE PLAN ITINERANTE ADAPTADOR USB-C Y BATERÍA EXTERNA POR 36 MESES.-   </t>
        </is>
      </c>
      <c r="C155" s="11" t="n">
        <v>0</v>
      </c>
      <c r="D155" s="13" t="inlineStr">
        <is>
          <t>score 0 &lt; 30</t>
        </is>
      </c>
    </row>
    <row r="156">
      <c r="A156" s="11" t="inlineStr">
        <is>
          <t>2332-70-LE26</t>
        </is>
      </c>
      <c r="B156" s="13" t="inlineStr">
        <is>
          <t>CS DE ARRIENDO DE APLICACION DE AGENDA VIRTUAL</t>
        </is>
      </c>
      <c r="C156" s="11" t="n">
        <v>14</v>
      </c>
      <c r="D156" s="13" t="inlineStr">
        <is>
          <t>score 14 &lt; 30</t>
        </is>
      </c>
    </row>
    <row r="157">
      <c r="A157" s="11" t="inlineStr">
        <is>
          <t>2345-117-LP26</t>
        </is>
      </c>
      <c r="B157" s="13" t="inlineStr">
        <is>
          <t>ARRIENDO Y MANTENCIÓN DE EQUIPOS PSICOTÉCNICOS Y SENSOMÉTRICOS PARA LA MUNICIPALIDAD DE LAS CONDES</t>
        </is>
      </c>
      <c r="C157" s="11" t="n">
        <v>14</v>
      </c>
      <c r="D157" s="13" t="inlineStr">
        <is>
          <t>score 14 &lt; 30</t>
        </is>
      </c>
    </row>
    <row r="158">
      <c r="A158" s="11" t="inlineStr">
        <is>
          <t>2369-69-LP26</t>
        </is>
      </c>
      <c r="B158" s="13" t="inlineStr">
        <is>
          <t>PP 44 Construcc. sede social Villa Santa Maria</t>
        </is>
      </c>
      <c r="C158" s="11" t="n">
        <v>8</v>
      </c>
      <c r="D158" s="13" t="inlineStr">
        <is>
          <t>solo mencion de inmueble, sin servicio inmobiliario</t>
        </is>
      </c>
    </row>
    <row r="159">
      <c r="A159" s="11" t="inlineStr">
        <is>
          <t>2369-72-LP26</t>
        </is>
      </c>
      <c r="B159" s="13" t="inlineStr">
        <is>
          <t>PP 45 Construcc. sede social Chile III</t>
        </is>
      </c>
      <c r="C159" s="11" t="n">
        <v>8</v>
      </c>
      <c r="D159" s="13" t="inlineStr">
        <is>
          <t>solo mencion de inmueble, sin servicio inmobiliario</t>
        </is>
      </c>
    </row>
    <row r="160">
      <c r="A160" s="11" t="inlineStr">
        <is>
          <t>2378-110-LP26</t>
        </is>
      </c>
      <c r="B160" s="13" t="inlineStr">
        <is>
          <t>ARRIENDO YO  MANTENCIÓN DE BAÑOS QUIMICOS</t>
        </is>
      </c>
      <c r="C160" s="11" t="n">
        <v>0</v>
      </c>
      <c r="D160" s="13" t="inlineStr">
        <is>
          <t>score 0 &lt; 30</t>
        </is>
      </c>
    </row>
    <row r="161">
      <c r="A161" s="11" t="inlineStr">
        <is>
          <t>2385-53-LE26</t>
        </is>
      </c>
      <c r="B161" s="13" t="inlineStr">
        <is>
          <t>SERVICIO DE ARRIENDO DE CARGADOR FRONTAL CON OPERADOR</t>
        </is>
      </c>
      <c r="C161" s="11" t="n">
        <v>14</v>
      </c>
      <c r="D161" s="13" t="inlineStr">
        <is>
          <t>score 14 &lt; 30</t>
        </is>
      </c>
    </row>
    <row r="162">
      <c r="A162" s="11" t="inlineStr">
        <is>
          <t>2405-108-LR26</t>
        </is>
      </c>
      <c r="B162" s="13" t="inlineStr">
        <is>
          <t>HABILITACION Y URBANIZACION LOTEO ALTOS</t>
        </is>
      </c>
      <c r="C162" s="11" t="n">
        <v>6</v>
      </c>
      <c r="D162" s="13" t="inlineStr">
        <is>
          <t>score 6 &lt; 30</t>
        </is>
      </c>
    </row>
    <row r="163">
      <c r="A163" s="11" t="inlineStr">
        <is>
          <t>2409-96-L126</t>
        </is>
      </c>
      <c r="B163" s="13" t="inlineStr">
        <is>
          <t>SERVICIO DE TRASLADO PARA ALUMNAS TALLER DE EXTRAESCOLAR Y JORNADAS DE REFLEXION PARA ESCUELA D-953</t>
        </is>
      </c>
      <c r="C163" s="11" t="n">
        <v>0</v>
      </c>
      <c r="D163" s="13" t="inlineStr">
        <is>
          <t>score 0 &lt; 30</t>
        </is>
      </c>
    </row>
    <row r="164">
      <c r="A164" s="11" t="inlineStr">
        <is>
          <t>2409-97-L126</t>
        </is>
      </c>
      <c r="B164" s="13" t="inlineStr">
        <is>
          <t>SERVICIO DE TRASLADOS INTERNOS PARA ESCUELA D-934</t>
        </is>
      </c>
      <c r="C164" s="11" t="n">
        <v>0</v>
      </c>
      <c r="D164" s="13" t="inlineStr">
        <is>
          <t>score 0 &lt; 30</t>
        </is>
      </c>
    </row>
    <row r="165">
      <c r="A165" s="11" t="inlineStr">
        <is>
          <t>2409-98-L126</t>
        </is>
      </c>
      <c r="B165" s="13" t="inlineStr">
        <is>
          <t>SERVICIO TRASLADO ALUMNAS A JORNADAS REFLEXION, ESCUELA D-926</t>
        </is>
      </c>
      <c r="C165" s="11" t="n">
        <v>0</v>
      </c>
      <c r="D165" s="13" t="inlineStr">
        <is>
          <t>score 0 &lt; 30</t>
        </is>
      </c>
    </row>
    <row r="166">
      <c r="A166" s="11" t="inlineStr">
        <is>
          <t>2410-41-LE26</t>
        </is>
      </c>
      <c r="B166" s="13" t="inlineStr">
        <is>
          <t xml:space="preserve">Adquisición de máquinas de oficina </t>
        </is>
      </c>
      <c r="C166" s="11" t="n">
        <v>10</v>
      </c>
      <c r="D166" s="13" t="inlineStr">
        <is>
          <t>solo mencion de inmueble, sin servicio inmobiliario</t>
        </is>
      </c>
    </row>
    <row r="167">
      <c r="A167" s="11" t="inlineStr">
        <is>
          <t>2426-41-LE26</t>
        </is>
      </c>
      <c r="B167" s="13" t="inlineStr">
        <is>
          <t>Obras de reforzamiento edificio Nasro Maluk</t>
        </is>
      </c>
      <c r="C167" s="11" t="n">
        <v>8</v>
      </c>
      <c r="D167" s="13" t="inlineStr">
        <is>
          <t>solo mencion de inmueble, sin servicio inmobiliario</t>
        </is>
      </c>
    </row>
    <row r="168">
      <c r="A168" s="11" t="inlineStr">
        <is>
          <t>2426-44-LE26</t>
        </is>
      </c>
      <c r="B168" s="13" t="inlineStr">
        <is>
          <t>CIERRE PERIMETRAL Y MEJ ACERA PARA SEDE SOCIAL</t>
        </is>
      </c>
      <c r="C168" s="11" t="n">
        <v>8</v>
      </c>
      <c r="D168" s="13" t="inlineStr">
        <is>
          <t>solo mencion de inmueble, sin servicio inmobiliario</t>
        </is>
      </c>
    </row>
    <row r="169">
      <c r="A169" s="11" t="inlineStr">
        <is>
          <t>2428-70-LP26</t>
        </is>
      </c>
      <c r="B169" s="13" t="inlineStr">
        <is>
          <t>SERVICIO DE ARRIENDO DE OFICINA MOVIL -SOCIAL</t>
        </is>
      </c>
      <c r="C169" s="11" t="n">
        <v>22</v>
      </c>
      <c r="D169" s="13" t="inlineStr">
        <is>
          <t>score 22 &lt; 30</t>
        </is>
      </c>
    </row>
    <row r="170">
      <c r="A170" s="11" t="inlineStr">
        <is>
          <t>2429-8-LP26</t>
        </is>
      </c>
      <c r="B170" s="13" t="inlineStr">
        <is>
          <t>RENOVACIÓN DE INFRAESTRUCTURA DE RED INFORMÁTICA Y NORMALIZACIÓN DE CABLEADO ESTRUCTURADO DE LAS DEPENDENCIAS DE LA IMA</t>
        </is>
      </c>
      <c r="C170" s="11" t="n">
        <v>8</v>
      </c>
      <c r="D170" s="13" t="inlineStr">
        <is>
          <t>solo mencion de inmueble, sin servicio inmobiliario</t>
        </is>
      </c>
    </row>
    <row r="171">
      <c r="A171" s="11" t="inlineStr">
        <is>
          <t>2430-59-LP26</t>
        </is>
      </c>
      <c r="B171" s="13" t="inlineStr">
        <is>
          <t>P.M.U. “HABILITACIÓN ZONA DE JUEGOS PARQUE NICOLÁS TIRADO ANTOFAGASTA”</t>
        </is>
      </c>
      <c r="C171" s="11" t="n">
        <v>0</v>
      </c>
      <c r="D171" s="13" t="inlineStr">
        <is>
          <t>score 0 &lt; 30</t>
        </is>
      </c>
    </row>
    <row r="172">
      <c r="A172" s="11" t="inlineStr">
        <is>
          <t>2430-68-LR26</t>
        </is>
      </c>
      <c r="B172" s="13" t="inlineStr">
        <is>
          <t>MEJORAMIENTO INTEGRAL PLAZA SOTOMAYOR Y LOCALES COMERCIALES COMUNA DE ANTOFAGASTA</t>
        </is>
      </c>
      <c r="C172" s="11" t="n">
        <v>10</v>
      </c>
      <c r="D172" s="13" t="inlineStr">
        <is>
          <t>solo mencion de inmueble, sin servicio inmobiliario</t>
        </is>
      </c>
    </row>
    <row r="173">
      <c r="A173" s="11" t="inlineStr">
        <is>
          <t>2430-77-LP26</t>
        </is>
      </c>
      <c r="B173" s="13" t="inlineStr">
        <is>
          <t>MEJORAMIENTO SEDE SOCIAL EL ANCLA ANTOFAGASTA CÓDIGO BIP N°40073719-0</t>
        </is>
      </c>
      <c r="C173" s="11" t="n">
        <v>8</v>
      </c>
      <c r="D173" s="13" t="inlineStr">
        <is>
          <t>solo mencion de inmueble, sin servicio inmobiliario</t>
        </is>
      </c>
    </row>
    <row r="174">
      <c r="A174" s="11" t="inlineStr">
        <is>
          <t>2430-78-LP26</t>
        </is>
      </c>
      <c r="B174" s="13" t="inlineStr">
        <is>
          <t>CONSERVACIÓN SEDE SOCIAL RUBÉN INFANTA ANTOFAGASTA CÓDIGO BIP N°40073072-0</t>
        </is>
      </c>
      <c r="C174" s="11" t="n">
        <v>8</v>
      </c>
      <c r="D174" s="13" t="inlineStr">
        <is>
          <t>solo mencion de inmueble, sin servicio inmobiliario</t>
        </is>
      </c>
    </row>
    <row r="175">
      <c r="A175" s="11" t="inlineStr">
        <is>
          <t>2445-115-LE26</t>
        </is>
      </c>
      <c r="B175" s="13" t="inlineStr">
        <is>
          <t>HABILITACIONES VARIAS PARA CESFFAM COLON SP 842</t>
        </is>
      </c>
      <c r="C175" s="11" t="n">
        <v>6</v>
      </c>
      <c r="D175" s="13" t="inlineStr">
        <is>
          <t>score 6 &lt; 30</t>
        </is>
      </c>
    </row>
    <row r="176">
      <c r="A176" s="11" t="inlineStr">
        <is>
          <t>2446-243-LP26</t>
        </is>
      </c>
      <c r="B176" s="13" t="inlineStr">
        <is>
          <t>CONSULTORÍA DISEÑO MUSEO COQUIMBO CASA GALLEGUILLO</t>
        </is>
      </c>
      <c r="C176" s="11" t="n">
        <v>5</v>
      </c>
      <c r="D176" s="13" t="inlineStr">
        <is>
          <t>solo mencion de inmueble, sin servicio inmobiliario</t>
        </is>
      </c>
    </row>
    <row r="177">
      <c r="A177" s="11" t="inlineStr">
        <is>
          <t>2446-257-LE26</t>
        </is>
      </c>
      <c r="B177" s="13" t="inlineStr">
        <is>
          <t>HABILITACIÓN CASA GALLEGUILLOS</t>
        </is>
      </c>
      <c r="C177" s="11" t="n">
        <v>11</v>
      </c>
      <c r="D177" s="13" t="inlineStr">
        <is>
          <t>score 11 &lt; 30</t>
        </is>
      </c>
    </row>
    <row r="178">
      <c r="A178" s="11" t="inlineStr">
        <is>
          <t>2446-260-LR26</t>
        </is>
      </c>
      <c r="B178" s="13" t="inlineStr">
        <is>
          <t xml:space="preserve">Licitación Pública N°4102026 “MEJORAMIENTO EDIFICIO CONSISTORIAL BILBAO”.                                                                                                                                                                                     </t>
        </is>
      </c>
      <c r="C178" s="11" t="n">
        <v>8</v>
      </c>
      <c r="D178" s="13" t="inlineStr">
        <is>
          <t>solo mencion de inmueble, sin servicio inmobiliario</t>
        </is>
      </c>
    </row>
    <row r="179">
      <c r="A179" s="11" t="inlineStr">
        <is>
          <t>2446-266-LP26</t>
        </is>
      </c>
      <c r="B179" s="13" t="inlineStr">
        <is>
          <t>MANTENCIÓN CASA MAC AULIFFE</t>
        </is>
      </c>
      <c r="C179" s="11" t="n">
        <v>5</v>
      </c>
      <c r="D179" s="13" t="inlineStr">
        <is>
          <t>solo mencion de inmueble, sin servicio inmobiliario</t>
        </is>
      </c>
    </row>
    <row r="180">
      <c r="A180" s="11" t="inlineStr">
        <is>
          <t>2446-271-LR26</t>
        </is>
      </c>
      <c r="B180" s="13" t="inlineStr">
        <is>
          <t>REHABILITACION CASA DE LA CULTURA</t>
        </is>
      </c>
      <c r="C180" s="11" t="n">
        <v>11</v>
      </c>
      <c r="D180" s="13" t="inlineStr">
        <is>
          <t>score 11 &lt; 30</t>
        </is>
      </c>
    </row>
    <row r="181">
      <c r="A181" s="11" t="inlineStr">
        <is>
          <t>2448-133-LE26</t>
        </is>
      </c>
      <c r="B181" s="13" t="inlineStr">
        <is>
          <t>HABILITACION OFICINA MODULAR CECOSF PUNTA MIRA</t>
        </is>
      </c>
      <c r="C181" s="11" t="n">
        <v>16</v>
      </c>
      <c r="D181" s="13" t="inlineStr">
        <is>
          <t>score 16 &lt; 30</t>
        </is>
      </c>
    </row>
    <row r="182">
      <c r="A182" s="11" t="inlineStr">
        <is>
          <t>2455-46-LP26</t>
        </is>
      </c>
      <c r="B182" s="13" t="inlineStr">
        <is>
          <t>HABILITACIÓN SISTEMA DE TELEVIGILANCIA</t>
        </is>
      </c>
      <c r="C182" s="11" t="n">
        <v>11</v>
      </c>
      <c r="D182" s="13" t="inlineStr">
        <is>
          <t>score 11 &lt; 30</t>
        </is>
      </c>
    </row>
    <row r="183">
      <c r="A183" s="11" t="inlineStr">
        <is>
          <t>2460-108-LE26</t>
        </is>
      </c>
      <c r="B183" s="13" t="inlineStr">
        <is>
          <t>Adquisición de Material Bibliográfico para Sedes del Departamento Bibliotecas - SBC N° 1.061</t>
        </is>
      </c>
      <c r="C183" s="11" t="n">
        <v>8</v>
      </c>
      <c r="D183" s="13" t="inlineStr">
        <is>
          <t>solo mencion de inmueble, sin servicio inmobiliario</t>
        </is>
      </c>
    </row>
    <row r="184">
      <c r="A184" s="11" t="inlineStr">
        <is>
          <t>2460-121-LE26</t>
        </is>
      </c>
      <c r="B184" s="13" t="inlineStr">
        <is>
          <t xml:space="preserve">Mejoras de pisos en Recintos Municipales </t>
        </is>
      </c>
      <c r="C184" s="11" t="n">
        <v>5</v>
      </c>
      <c r="D184" s="13" t="inlineStr">
        <is>
          <t>solo mencion de inmueble, sin servicio inmobiliario</t>
        </is>
      </c>
    </row>
    <row r="185">
      <c r="A185" s="11" t="inlineStr">
        <is>
          <t>2467-100-L126</t>
        </is>
      </c>
      <c r="B185" s="13" t="inlineStr">
        <is>
          <t>NUEVO LLAMADO ADQUISICIÓN CON INSTALACION DE CORTINAS ROLLER DOBLE BLACKOUT  SCREEN PARA TERCER PISO EDIFICIO CONSISTORIAL</t>
        </is>
      </c>
      <c r="C185" s="11" t="n">
        <v>8</v>
      </c>
      <c r="D185" s="13" t="inlineStr">
        <is>
          <t>solo mencion de inmueble, sin servicio inmobiliario</t>
        </is>
      </c>
    </row>
    <row r="186">
      <c r="A186" s="11" t="inlineStr">
        <is>
          <t>2483-242-CO26</t>
        </is>
      </c>
      <c r="B186" s="13" t="inlineStr">
        <is>
          <t>“ADQUISICIÓN DE UNIFORMES PARA FUNCIONARIOS DE MOVILIZACIÓN MANTENCIÓN EQUIPAMIENTO CLÍNICO E INFORMÁTICA DEL DEPARTAMENTO DE SALUD MUNICIPALIDAD DE QUILICURA</t>
        </is>
      </c>
      <c r="C186" s="11" t="n">
        <v>5</v>
      </c>
      <c r="D186" s="13" t="inlineStr">
        <is>
          <t>solo mencion de inmueble, sin servicio inmobiliario</t>
        </is>
      </c>
    </row>
    <row r="187">
      <c r="A187" s="11" t="inlineStr">
        <is>
          <t>2494-79-LP26</t>
        </is>
      </c>
      <c r="B187" s="13" t="inlineStr">
        <is>
          <t>MEJORAMIENTO OFICINA LOCAL DE LA NIÑEZ COYHAIQUE</t>
        </is>
      </c>
      <c r="C187" s="11" t="n">
        <v>13</v>
      </c>
      <c r="D187" s="13" t="inlineStr">
        <is>
          <t>score 13 &lt; 30</t>
        </is>
      </c>
    </row>
    <row r="188">
      <c r="A188" s="11" t="inlineStr">
        <is>
          <t>2565-15-LR26</t>
        </is>
      </c>
      <c r="B188" s="13" t="inlineStr">
        <is>
          <t>ADQUISICIÓN DE REACTIVOS DE QUIMICA Y HORMONAS CON EQUIPO EN COMODATO PARA LABORATORIO DEL CESFAM DE CHEPICA</t>
        </is>
      </c>
      <c r="C188" s="11" t="n">
        <v>0</v>
      </c>
      <c r="D188" s="13" t="inlineStr">
        <is>
          <t>score 0 &lt; 30</t>
        </is>
      </c>
    </row>
    <row r="189">
      <c r="A189" s="11" t="inlineStr">
        <is>
          <t>2581-36-LE26</t>
        </is>
      </c>
      <c r="B189" s="13" t="inlineStr">
        <is>
          <t>ADQUISICIÓN MÁQUINA TRITURADORA MULTIPROPÓSITO PARA EL DEPARTAMENTO DE MEDIOAMBIENTE</t>
        </is>
      </c>
      <c r="C189" s="11" t="n">
        <v>5</v>
      </c>
      <c r="D189" s="13" t="inlineStr">
        <is>
          <t>solo mencion de inmueble, sin servicio inmobiliario</t>
        </is>
      </c>
    </row>
    <row r="190">
      <c r="A190" s="11" t="inlineStr">
        <is>
          <t>2582-53-LR26</t>
        </is>
      </c>
      <c r="B190" s="13" t="inlineStr">
        <is>
          <t>CONCESIÓN ESPACIOS VENTA DE SOAP 2027-2029</t>
        </is>
      </c>
      <c r="C190" s="11" t="n">
        <v>10</v>
      </c>
      <c r="D190" s="13" t="inlineStr">
        <is>
          <t>score 10 &lt; 30</t>
        </is>
      </c>
    </row>
    <row r="191">
      <c r="A191" s="11" t="inlineStr">
        <is>
          <t>2585-119-LE26</t>
        </is>
      </c>
      <c r="B191" s="13" t="inlineStr">
        <is>
          <t>ADQ. SERV TRASLADO TERRESTRE NAC DIDECO ORD N°3042 IMA CRC</t>
        </is>
      </c>
      <c r="C191" s="11" t="n">
        <v>0</v>
      </c>
      <c r="D191" s="13" t="inlineStr">
        <is>
          <t>score 0 &lt; 30</t>
        </is>
      </c>
    </row>
    <row r="192">
      <c r="A192" s="11" t="inlineStr">
        <is>
          <t>2591-106-LR26</t>
        </is>
      </c>
      <c r="B192" s="13" t="inlineStr">
        <is>
          <t>REPOSICION OFICINA SRCEI POZO ALMONTE</t>
        </is>
      </c>
      <c r="C192" s="11" t="n">
        <v>10</v>
      </c>
      <c r="D192" s="13" t="inlineStr">
        <is>
          <t>solo mencion de inmueble, sin servicio inmobiliario</t>
        </is>
      </c>
    </row>
    <row r="193">
      <c r="A193" s="11" t="inlineStr">
        <is>
          <t>2591-156-B226</t>
        </is>
      </c>
      <c r="B193" s="13" t="inlineStr">
        <is>
          <t>MEJORAMIENTO SEDE SOCIAL J.V.  N 1 P.ALMONTE</t>
        </is>
      </c>
      <c r="C193" s="11" t="n">
        <v>8</v>
      </c>
      <c r="D193" s="13" t="inlineStr">
        <is>
          <t>solo mencion de inmueble, sin servicio inmobiliario</t>
        </is>
      </c>
    </row>
    <row r="194">
      <c r="A194" s="11" t="inlineStr">
        <is>
          <t>2600-26-LR26</t>
        </is>
      </c>
      <c r="B194" s="13" t="inlineStr">
        <is>
          <t>Concesión Servicio de Estacionamiento Regulados en la vía Pública de Parral</t>
        </is>
      </c>
      <c r="C194" s="11" t="n">
        <v>5</v>
      </c>
      <c r="D194" s="13" t="inlineStr">
        <is>
          <t>solo mencion de inmueble, sin servicio inmobiliario</t>
        </is>
      </c>
    </row>
    <row r="195">
      <c r="A195" s="11" t="inlineStr">
        <is>
          <t>2600-29-LE26</t>
        </is>
      </c>
      <c r="B195" s="13" t="inlineStr">
        <is>
          <t>Const. accesibilidad universal Edificio Municipal</t>
        </is>
      </c>
      <c r="C195" s="11" t="n">
        <v>8</v>
      </c>
      <c r="D195" s="13" t="inlineStr">
        <is>
          <t>solo mencion de inmueble, sin servicio inmobiliario</t>
        </is>
      </c>
    </row>
    <row r="196">
      <c r="A196" s="11" t="inlineStr">
        <is>
          <t>2627-18-LR26</t>
        </is>
      </c>
      <c r="B196" s="13" t="inlineStr">
        <is>
          <t>MEJORAMIENTO RECINTO CLUB DEPORTIVO INTERSPORTING</t>
        </is>
      </c>
      <c r="C196" s="11" t="n">
        <v>5</v>
      </c>
      <c r="D196" s="13" t="inlineStr">
        <is>
          <t>solo mencion de inmueble, sin servicio inmobiliario</t>
        </is>
      </c>
    </row>
    <row r="197">
      <c r="A197" s="11" t="inlineStr">
        <is>
          <t>2667-39-LR26</t>
        </is>
      </c>
      <c r="B197" s="13" t="inlineStr">
        <is>
          <t>CONSTRUCCIÓN NUEVO EDIFICIO 37° COMISARIA DE VITACURA</t>
        </is>
      </c>
      <c r="C197" s="11" t="n">
        <v>11</v>
      </c>
      <c r="D197" s="13" t="inlineStr">
        <is>
          <t>score 11 &lt; 30</t>
        </is>
      </c>
    </row>
    <row r="198">
      <c r="A198" s="11" t="inlineStr">
        <is>
          <t>2667-71-LR26</t>
        </is>
      </c>
      <c r="B198" s="13" t="inlineStr">
        <is>
          <t>ARRIENDO SOPORTE Y MANTENCIÓN DE CENTRAL TELEFONICA IP TELEFONOS IP Y PLATAFORMA DE CONTACT CENTER</t>
        </is>
      </c>
      <c r="C198" s="11" t="n">
        <v>16</v>
      </c>
      <c r="D198" s="13" t="inlineStr">
        <is>
          <t>score 16 &lt; 30</t>
        </is>
      </c>
    </row>
    <row r="199">
      <c r="A199" s="11" t="inlineStr">
        <is>
          <t>2667-83-LE26</t>
        </is>
      </c>
      <c r="B199" s="13" t="inlineStr">
        <is>
          <t>Servicio de Banquetearía y Producción con Recinto Incluido para Ceremonia Día del Profesor y Asistentes de la Educación de los Colegios Municipales de Vitacura Año 2026</t>
        </is>
      </c>
      <c r="C199" s="11" t="n">
        <v>5</v>
      </c>
      <c r="D199" s="13" t="inlineStr">
        <is>
          <t>solo mencion de inmueble, sin servicio inmobiliario</t>
        </is>
      </c>
    </row>
    <row r="200">
      <c r="A200" s="11" t="inlineStr">
        <is>
          <t>2667-90-LE26</t>
        </is>
      </c>
      <c r="B200" s="13" t="inlineStr">
        <is>
          <t>ADQUISICIÓN INSTALACIÓN Y PUESTA EN MARCHA DE PUNTOS DE CÁMARAS EN RECINTOS MUNICIPALES DE LA COMUNA DE VITACURA</t>
        </is>
      </c>
      <c r="C200" s="11" t="n">
        <v>5</v>
      </c>
      <c r="D200" s="13" t="inlineStr">
        <is>
          <t>solo mencion de inmueble, sin servicio inmobiliario</t>
        </is>
      </c>
    </row>
    <row r="201">
      <c r="A201" s="11" t="inlineStr">
        <is>
          <t>2687-16-CO26</t>
        </is>
      </c>
      <c r="B201" s="13" t="inlineStr">
        <is>
          <t>REPOSICIÓN DE VENTANAS TERMOPANEL ESCUELA BÁSICA RURAL EL YECO</t>
        </is>
      </c>
      <c r="C201" s="11" t="n">
        <v>8</v>
      </c>
      <c r="D201" s="13" t="inlineStr">
        <is>
          <t>score 8 &lt; 30</t>
        </is>
      </c>
    </row>
    <row r="202">
      <c r="A202" s="11" t="inlineStr">
        <is>
          <t>2710-55-LE26</t>
        </is>
      </c>
      <c r="B202" s="13" t="inlineStr">
        <is>
          <t>SERVICIO DE ARRIENDO TOTEM</t>
        </is>
      </c>
      <c r="C202" s="11" t="n">
        <v>0</v>
      </c>
      <c r="D202" s="13" t="inlineStr">
        <is>
          <t>score 0 &lt; 30</t>
        </is>
      </c>
    </row>
    <row r="203">
      <c r="A203" s="11" t="inlineStr">
        <is>
          <t>2723-61-LR26</t>
        </is>
      </c>
      <c r="B203" s="13" t="inlineStr">
        <is>
          <t>Concesión Estacionamientos Calles Comuna de Buin</t>
        </is>
      </c>
      <c r="C203" s="11" t="n">
        <v>5</v>
      </c>
      <c r="D203" s="13" t="inlineStr">
        <is>
          <t>solo mencion de inmueble, sin servicio inmobiliario</t>
        </is>
      </c>
    </row>
    <row r="204">
      <c r="A204" s="11" t="inlineStr">
        <is>
          <t>2732-34-LP26</t>
        </is>
      </c>
      <c r="B204" s="13" t="inlineStr">
        <is>
          <t>Serv. Arriendo de Baños Químicos Ferias Libres</t>
        </is>
      </c>
      <c r="C204" s="11" t="n">
        <v>0</v>
      </c>
      <c r="D204" s="13" t="inlineStr">
        <is>
          <t>score 0 &lt; 30</t>
        </is>
      </c>
    </row>
    <row r="205">
      <c r="A205" s="11" t="inlineStr">
        <is>
          <t>2733-18-LE26</t>
        </is>
      </c>
      <c r="B205" s="13" t="inlineStr">
        <is>
          <t>Serv.habilitación Sala Sensorial-Liceo Peñaflor</t>
        </is>
      </c>
      <c r="C205" s="11" t="n">
        <v>8</v>
      </c>
      <c r="D205" s="13" t="inlineStr">
        <is>
          <t>score 8 &lt; 30</t>
        </is>
      </c>
    </row>
    <row r="206">
      <c r="A206" s="11" t="inlineStr">
        <is>
          <t>2760-113-LE26</t>
        </is>
      </c>
      <c r="B206" s="13" t="inlineStr">
        <is>
          <t>ADQUISICIÓN CASACAS DE TRABAJO PERSONAL PMU 2026</t>
        </is>
      </c>
      <c r="C206" s="11" t="n">
        <v>5</v>
      </c>
      <c r="D206" s="13" t="inlineStr">
        <is>
          <t>solo mencion de inmueble, sin servicio inmobiliario</t>
        </is>
      </c>
    </row>
    <row r="207">
      <c r="A207" s="11" t="inlineStr">
        <is>
          <t>2760-115-LE26</t>
        </is>
      </c>
      <c r="B207" s="13" t="inlineStr">
        <is>
          <t>ADQUISICIÓN CASACAS DE TRABAJO PERSONAL PRO EMPLEO</t>
        </is>
      </c>
      <c r="C207" s="11" t="n">
        <v>5</v>
      </c>
      <c r="D207" s="13" t="inlineStr">
        <is>
          <t>solo mencion de inmueble, sin servicio inmobiliario</t>
        </is>
      </c>
    </row>
    <row r="208">
      <c r="A208" s="11" t="inlineStr">
        <is>
          <t>2794-22-LR26</t>
        </is>
      </c>
      <c r="B208" s="13" t="inlineStr">
        <is>
          <t>Adquisicion de Terreno para Medio Ambiente L.A.</t>
        </is>
      </c>
      <c r="C208" s="11" t="n">
        <v>9</v>
      </c>
      <c r="D208" s="13" t="inlineStr">
        <is>
          <t>solo mencion de inmueble, sin servicio inmobiliario</t>
        </is>
      </c>
    </row>
    <row r="209">
      <c r="A209" s="11" t="inlineStr">
        <is>
          <t>2817-63-LE26</t>
        </is>
      </c>
      <c r="B209" s="13" t="inlineStr">
        <is>
          <t>MEJ. OFICINA SEC. MUNICIPAL Y SALA DE CONCEJO</t>
        </is>
      </c>
      <c r="C209" s="11" t="n">
        <v>10</v>
      </c>
      <c r="D209" s="13" t="inlineStr">
        <is>
          <t>solo mencion de inmueble, sin servicio inmobiliario</t>
        </is>
      </c>
    </row>
    <row r="210">
      <c r="A210" s="11" t="inlineStr">
        <is>
          <t>2831-37-LE26</t>
        </is>
      </c>
      <c r="B210" s="13" t="inlineStr">
        <is>
          <t>SERVICIO DE VENTA DE ENTRADAS EXPO QTA</t>
        </is>
      </c>
      <c r="C210" s="11" t="n">
        <v>0</v>
      </c>
      <c r="D210" s="13" t="inlineStr">
        <is>
          <t>score 0 &lt; 30</t>
        </is>
      </c>
    </row>
    <row r="211">
      <c r="A211" s="11" t="inlineStr">
        <is>
          <t>2905-42-LP26</t>
        </is>
      </c>
      <c r="B211" s="13" t="inlineStr">
        <is>
          <t>Habilitación Oficinas Municipales Calle Alberto C</t>
        </is>
      </c>
      <c r="C211" s="11" t="n">
        <v>16</v>
      </c>
      <c r="D211" s="13" t="inlineStr">
        <is>
          <t>score 16 &lt; 30</t>
        </is>
      </c>
    </row>
    <row r="212">
      <c r="A212" s="11" t="inlineStr">
        <is>
          <t>2906-18-LE26</t>
        </is>
      </c>
      <c r="B212" s="13" t="inlineStr">
        <is>
          <t>SERVICIO DE ARRIENDO ESPACIO RADIAL 2026-2027</t>
        </is>
      </c>
      <c r="C212" s="11" t="n">
        <v>0</v>
      </c>
      <c r="D212" s="13" t="inlineStr">
        <is>
          <t>score 0 &lt; 30</t>
        </is>
      </c>
    </row>
    <row r="213">
      <c r="A213" s="11" t="inlineStr">
        <is>
          <t>2920-38-LP26</t>
        </is>
      </c>
      <c r="B213" s="13" t="inlineStr">
        <is>
          <t>Construcción Sede Juventud Robinsoniana.</t>
        </is>
      </c>
      <c r="C213" s="11" t="n">
        <v>8</v>
      </c>
      <c r="D213" s="13" t="inlineStr">
        <is>
          <t>solo mencion de inmueble, sin servicio inmobiliario</t>
        </is>
      </c>
    </row>
    <row r="214">
      <c r="A214" s="11" t="inlineStr">
        <is>
          <t>2950-44-LP26</t>
        </is>
      </c>
      <c r="B214" s="13" t="inlineStr">
        <is>
          <t>REPARACIÓN TECHUMBRE Y AZOTEAS DEL EDIFICIO HABITABILIDAD ESCUELA NAVAL ARTURO PRAT</t>
        </is>
      </c>
      <c r="C214" s="11" t="n">
        <v>8</v>
      </c>
      <c r="D214" s="13" t="inlineStr">
        <is>
          <t>solo mencion de inmueble, sin servicio inmobiliario</t>
        </is>
      </c>
    </row>
    <row r="215">
      <c r="A215" s="11" t="inlineStr">
        <is>
          <t>2974-71-L126</t>
        </is>
      </c>
      <c r="B215" s="13" t="inlineStr">
        <is>
          <t>SERVICIO DE TALA DE ÁRBOL EN CASA DE HUESPEDES TANTAUCO (512/2026)</t>
        </is>
      </c>
      <c r="C215" s="11" t="n">
        <v>5</v>
      </c>
      <c r="D215" s="13" t="inlineStr">
        <is>
          <t>solo mencion de inmueble, sin servicio inmobiliario</t>
        </is>
      </c>
    </row>
    <row r="216">
      <c r="A216" s="11" t="inlineStr">
        <is>
          <t>2974-73-L126</t>
        </is>
      </c>
      <c r="B216" s="13" t="inlineStr">
        <is>
          <t>(DIS) PROVISIÓN E INSTALACIÓN DE CHAPA Y PERILLÓNES PARA EL INMUEBLE DE CAMINO LA VIÑA N° 12.130(535/2026)</t>
        </is>
      </c>
      <c r="C216" s="11" t="n">
        <v>14</v>
      </c>
      <c r="D216" s="13" t="inlineStr">
        <is>
          <t>solo mencion de inmueble, sin servicio inmobiliario</t>
        </is>
      </c>
    </row>
    <row r="217">
      <c r="A217" s="11" t="inlineStr">
        <is>
          <t>2981-235-LP26</t>
        </is>
      </c>
      <c r="B217" s="13" t="inlineStr">
        <is>
          <t>DEINFRA - HABILITACIÓN MODULARES CECAPRO 2027</t>
        </is>
      </c>
      <c r="C217" s="11" t="n">
        <v>10</v>
      </c>
      <c r="D217" s="13" t="inlineStr">
        <is>
          <t>score 10 &lt; 30</t>
        </is>
      </c>
    </row>
    <row r="218">
      <c r="A218" s="11" t="inlineStr">
        <is>
          <t>2981-236-LR26</t>
        </is>
      </c>
      <c r="B218" s="13" t="inlineStr">
        <is>
          <t>DEINFRA - HABILITACIÓN CECAPRO 2027 COD. BIP 40081088-0</t>
        </is>
      </c>
      <c r="C218" s="11" t="n">
        <v>0</v>
      </c>
      <c r="D218" s="13" t="inlineStr">
        <is>
          <t>score 0 &lt; 30</t>
        </is>
      </c>
    </row>
    <row r="219">
      <c r="A219" s="11" t="inlineStr">
        <is>
          <t>299-17-LP26</t>
        </is>
      </c>
      <c r="B219" s="13" t="inlineStr">
        <is>
          <t>E102RT9BRANDING Y ORNAMENTACION RECINTOS LOS RIOS</t>
        </is>
      </c>
      <c r="C219" s="11" t="n">
        <v>5</v>
      </c>
      <c r="D219" s="13" t="inlineStr">
        <is>
          <t>solo mencion de inmueble, sin servicio inmobiliario</t>
        </is>
      </c>
    </row>
    <row r="220">
      <c r="A220" s="11" t="inlineStr">
        <is>
          <t>2992-49-LE26</t>
        </is>
      </c>
      <c r="B220" s="13" t="inlineStr">
        <is>
          <t>habilitación sombra retractil en patio escuela</t>
        </is>
      </c>
      <c r="C220" s="11" t="n">
        <v>0</v>
      </c>
      <c r="D220" s="13" t="inlineStr">
        <is>
          <t>score 0 &lt; 30</t>
        </is>
      </c>
    </row>
    <row r="221">
      <c r="A221" s="11" t="inlineStr">
        <is>
          <t>3015-52-LE26</t>
        </is>
      </c>
      <c r="B221" s="13" t="inlineStr">
        <is>
          <t>HABILITACIÓN DE DESAGÜES EN SECTORES DE LA CRUZ</t>
        </is>
      </c>
      <c r="C221" s="11" t="n">
        <v>10</v>
      </c>
      <c r="D221" s="13" t="inlineStr">
        <is>
          <t>score 10 &lt; 30</t>
        </is>
      </c>
    </row>
    <row r="222">
      <c r="A222" s="11" t="inlineStr">
        <is>
          <t>3015-56-LP26</t>
        </is>
      </c>
      <c r="B222" s="13" t="inlineStr">
        <is>
          <t>MEJ ACCESIBILIDAD Y ENTORNO SEDE SOCIAL TERRAVIDA</t>
        </is>
      </c>
      <c r="C222" s="11" t="n">
        <v>8</v>
      </c>
      <c r="D222" s="13" t="inlineStr">
        <is>
          <t>solo mencion de inmueble, sin servicio inmobiliario</t>
        </is>
      </c>
    </row>
    <row r="223">
      <c r="A223" s="11" t="inlineStr">
        <is>
          <t>3016-52-LE26</t>
        </is>
      </c>
      <c r="B223" s="13" t="inlineStr">
        <is>
          <t>Servicio de Suministro Trofeos Galvanos Placas y Otros para Actividades Municipales del Área de Gestión Municipal Departamento de Salud y Departamento de Educación</t>
        </is>
      </c>
      <c r="C223" s="11" t="n">
        <v>5</v>
      </c>
      <c r="D223" s="13" t="inlineStr">
        <is>
          <t>solo mencion de inmueble, sin servicio inmobiliario</t>
        </is>
      </c>
    </row>
    <row r="224">
      <c r="A224" s="11" t="inlineStr">
        <is>
          <t>3047-54-LE26</t>
        </is>
      </c>
      <c r="B224" s="13" t="inlineStr">
        <is>
          <t>ADQUISICION DE EQUIPOS DE RED Y ACCESORIOS PARA DEPARTAMENTO INFORMATICA</t>
        </is>
      </c>
      <c r="C224" s="11" t="n">
        <v>5</v>
      </c>
      <c r="D224" s="13" t="inlineStr">
        <is>
          <t>solo mencion de inmueble, sin servicio inmobiliario</t>
        </is>
      </c>
    </row>
    <row r="225">
      <c r="A225" s="11" t="inlineStr">
        <is>
          <t>3084-31-LE26</t>
        </is>
      </c>
      <c r="B225" s="13" t="inlineStr">
        <is>
          <t>SERVICIO REPARACIÓN DE OFICINAS PARA LA DIRECCIÓN DE TELECOMUNICACIONES E INFORMÁTICA DE LA ARMADA.</t>
        </is>
      </c>
      <c r="C225" s="11" t="n">
        <v>16</v>
      </c>
      <c r="D225" s="13" t="inlineStr">
        <is>
          <t>score 16 &lt; 30</t>
        </is>
      </c>
    </row>
    <row r="226">
      <c r="A226" s="11" t="inlineStr">
        <is>
          <t>3117-88-LE26</t>
        </is>
      </c>
      <c r="B226" s="13" t="inlineStr">
        <is>
          <t>OFICINA Y BODEGA MODULAR C.R. LAS SALINAS</t>
        </is>
      </c>
      <c r="C226" s="11" t="n">
        <v>10</v>
      </c>
      <c r="D226" s="13" t="inlineStr">
        <is>
          <t>solo mencion de inmueble, sin servicio inmobiliario</t>
        </is>
      </c>
    </row>
    <row r="227">
      <c r="A227" s="11" t="inlineStr">
        <is>
          <t>3160-3-LE26</t>
        </is>
      </c>
      <c r="B227" s="13" t="inlineStr">
        <is>
          <t>SERVICIO DE CAMBIO DE TECHUMBRE DEL EDIFICIO COMMILDIRUNO</t>
        </is>
      </c>
      <c r="C227" s="11" t="n">
        <v>8</v>
      </c>
      <c r="D227" s="13" t="inlineStr">
        <is>
          <t>solo mencion de inmueble, sin servicio inmobiliario</t>
        </is>
      </c>
    </row>
    <row r="228">
      <c r="A228" s="11" t="inlineStr">
        <is>
          <t>3210-11-L126</t>
        </is>
      </c>
      <c r="B228" s="13" t="inlineStr">
        <is>
          <t>SERVICIO DE EXÁMENES DE FONDO DE OJO PARA USUARIOS DEL DEPARTAMENTO DE SALUD SAN RAFAEL</t>
        </is>
      </c>
      <c r="C228" s="11" t="n">
        <v>5</v>
      </c>
      <c r="D228" s="13" t="inlineStr">
        <is>
          <t>solo mencion de inmueble, sin servicio inmobiliario</t>
        </is>
      </c>
    </row>
    <row r="229">
      <c r="A229" s="11" t="inlineStr">
        <is>
          <t>324-48-LP26</t>
        </is>
      </c>
      <c r="B229" s="13" t="inlineStr">
        <is>
          <t>HABILITACION OFICINAS DIRECCION DE TRÁNSITO</t>
        </is>
      </c>
      <c r="C229" s="11" t="n">
        <v>16</v>
      </c>
      <c r="D229" s="13" t="inlineStr">
        <is>
          <t>score 16 &lt; 30</t>
        </is>
      </c>
    </row>
    <row r="230">
      <c r="A230" s="11" t="inlineStr">
        <is>
          <t>3290-8-LE26</t>
        </is>
      </c>
      <c r="B230" s="13" t="inlineStr">
        <is>
          <t>HABILITACIÓN CTER PDI TEMUCO</t>
        </is>
      </c>
      <c r="C230" s="11" t="n">
        <v>6</v>
      </c>
      <c r="D230" s="13" t="inlineStr">
        <is>
          <t>score 6 &lt; 30</t>
        </is>
      </c>
    </row>
    <row r="231">
      <c r="A231" s="11" t="inlineStr">
        <is>
          <t>3328-100-L126</t>
        </is>
      </c>
      <c r="B231" s="13" t="inlineStr">
        <is>
          <t>ASB/PROVISIÒN E INSTALACIÒN DE VENTANAS TIPO TERMOPANEL CRT</t>
        </is>
      </c>
      <c r="C231" s="11" t="n">
        <v>0</v>
      </c>
      <c r="D231" s="13" t="inlineStr">
        <is>
          <t>score 0 &lt; 30</t>
        </is>
      </c>
    </row>
    <row r="232">
      <c r="A232" s="11" t="inlineStr">
        <is>
          <t>3355-9-LP26</t>
        </is>
      </c>
      <c r="B232" s="13" t="inlineStr">
        <is>
          <t xml:space="preserve">ADQUISICIÓN DE EQUIPAMIENTO HIDROELÉCTRICO Y SERVICIO DE RECUPERACIÓN HABILITACIÓN Y PUESTA EN MARCHA DE LA MICRO CENTRAL ELÉCTRICA DEL REFUGIO MILITAR LOS BARROS </t>
        </is>
      </c>
      <c r="C232" s="11" t="n">
        <v>0</v>
      </c>
      <c r="D232" s="13" t="inlineStr">
        <is>
          <t>score 0 &lt; 30</t>
        </is>
      </c>
    </row>
    <row r="233">
      <c r="A233" s="11" t="inlineStr">
        <is>
          <t>3384-20-LP26</t>
        </is>
      </c>
      <c r="B233" s="13" t="inlineStr">
        <is>
          <t>Arriendo de 28 estaciones de trabajo para el IGM</t>
        </is>
      </c>
      <c r="C233" s="11" t="n">
        <v>0</v>
      </c>
      <c r="D233" s="13" t="inlineStr">
        <is>
          <t>score 0 &lt; 30</t>
        </is>
      </c>
    </row>
    <row r="234">
      <c r="A234" s="11" t="inlineStr">
        <is>
          <t>3474-53-LE26</t>
        </is>
      </c>
      <c r="B234" s="13" t="inlineStr">
        <is>
          <t>SERVICIO DE ARRIENDO Y MANT. MAQUINAS FOTOCOPIADO</t>
        </is>
      </c>
      <c r="C234" s="11" t="n">
        <v>0</v>
      </c>
      <c r="D234" s="13" t="inlineStr">
        <is>
          <t>score 0 &lt; 30</t>
        </is>
      </c>
    </row>
    <row r="235">
      <c r="A235" s="11" t="inlineStr">
        <is>
          <t>3525-8-LR26</t>
        </is>
      </c>
      <c r="B235" s="13" t="inlineStr">
        <is>
          <t>Sum e instalación de taludes visita terreno volun</t>
        </is>
      </c>
      <c r="C235" s="11" t="n">
        <v>9</v>
      </c>
      <c r="D235" s="13" t="inlineStr">
        <is>
          <t>solo mencion de inmueble, sin servicio inmobiliario</t>
        </is>
      </c>
    </row>
    <row r="236">
      <c r="A236" s="11" t="inlineStr">
        <is>
          <t>3542-23-LE26</t>
        </is>
      </c>
      <c r="B236" s="13" t="inlineStr">
        <is>
          <t xml:space="preserve">ARRIENDO DE EXCAVADORA 20 TON SIN OPERADOR </t>
        </is>
      </c>
      <c r="C236" s="11" t="n">
        <v>0</v>
      </c>
      <c r="D236" s="13" t="inlineStr">
        <is>
          <t>score 0 &lt; 30</t>
        </is>
      </c>
    </row>
    <row r="237">
      <c r="A237" s="11" t="inlineStr">
        <is>
          <t>3542-26-LE26</t>
        </is>
      </c>
      <c r="B237" s="13" t="inlineStr">
        <is>
          <t>SERVICIO DE REMODELACIÓN DE OFICINAS DEL TALLER DE MANTENIMIENTO</t>
        </is>
      </c>
      <c r="C237" s="11" t="n">
        <v>10</v>
      </c>
      <c r="D237" s="13" t="inlineStr">
        <is>
          <t>solo mencion de inmueble, sin servicio inmobiliario</t>
        </is>
      </c>
    </row>
    <row r="238">
      <c r="A238" s="11" t="inlineStr">
        <is>
          <t>3587-20-LE26</t>
        </is>
      </c>
      <c r="B238" s="13" t="inlineStr">
        <is>
          <t>SERVICIO DE REPARACIÓN MANTENIMIENTO PREVENTIVO CORRECTIVO Y SOPORTES PARA EQUIPOS RADIOCOMUNICACIONES DEPARTAMENTO DE SALUD MUNICIPAL</t>
        </is>
      </c>
      <c r="C238" s="11" t="n">
        <v>5</v>
      </c>
      <c r="D238" s="13" t="inlineStr">
        <is>
          <t>solo mencion de inmueble, sin servicio inmobiliario</t>
        </is>
      </c>
    </row>
    <row r="239">
      <c r="A239" s="11" t="inlineStr">
        <is>
          <t>359-106-LE26</t>
        </is>
      </c>
      <c r="B239" s="13" t="inlineStr">
        <is>
          <t>CISTOSCOPIOS FLEXIBLES CON EQUIPOS EN COMODATO.</t>
        </is>
      </c>
      <c r="C239" s="11" t="n">
        <v>0</v>
      </c>
      <c r="D239" s="13" t="inlineStr">
        <is>
          <t>score 0 &lt; 30</t>
        </is>
      </c>
    </row>
    <row r="240">
      <c r="A240" s="11" t="inlineStr">
        <is>
          <t>359-107-LE26</t>
        </is>
      </c>
      <c r="B240" s="13" t="inlineStr">
        <is>
          <t>ROCURONIO BROMURO CON COMODATO DE EQUIPO</t>
        </is>
      </c>
      <c r="C240" s="11" t="n">
        <v>0</v>
      </c>
      <c r="D240" s="13" t="inlineStr">
        <is>
          <t>score 0 &lt; 30</t>
        </is>
      </c>
    </row>
    <row r="241">
      <c r="A241" s="11" t="inlineStr">
        <is>
          <t>3624-32-LP26</t>
        </is>
      </c>
      <c r="B241" s="13" t="inlineStr">
        <is>
          <t>AMPLIACIÓN CASA DE LA CULTURA NOGALES</t>
        </is>
      </c>
      <c r="C241" s="11" t="n">
        <v>5</v>
      </c>
      <c r="D241" s="13" t="inlineStr">
        <is>
          <t>solo mencion de inmueble, sin servicio inmobiliario</t>
        </is>
      </c>
    </row>
    <row r="242">
      <c r="A242" s="11" t="inlineStr">
        <is>
          <t>3624-33-LP26</t>
        </is>
      </c>
      <c r="B242" s="13" t="inlineStr">
        <is>
          <t>MEJORAMIENTO CASA DE LA CULTURA EL MELÓN</t>
        </is>
      </c>
      <c r="C242" s="11" t="n">
        <v>5</v>
      </c>
      <c r="D242" s="13" t="inlineStr">
        <is>
          <t>solo mencion de inmueble, sin servicio inmobiliario</t>
        </is>
      </c>
    </row>
    <row r="243">
      <c r="A243" s="11" t="inlineStr">
        <is>
          <t>3678-22-LE26</t>
        </is>
      </c>
      <c r="B243" s="13" t="inlineStr">
        <is>
          <t>CONSTRUCCIÓN SEDE SOCIAL SECTOR MEDIA LUNA LAS PALMAS COMUNA DE PETORCA</t>
        </is>
      </c>
      <c r="C243" s="11" t="n">
        <v>8</v>
      </c>
      <c r="D243" s="13" t="inlineStr">
        <is>
          <t>solo mencion de inmueble, sin servicio inmobiliario</t>
        </is>
      </c>
    </row>
    <row r="244">
      <c r="A244" s="11" t="inlineStr">
        <is>
          <t>3693-158-LP26</t>
        </is>
      </c>
      <c r="B244" s="13" t="inlineStr">
        <is>
          <t>CONSTRUCCIÓN SEDE JUNTA DE VECINOS VILLA ALTOS DE ZAÑARTU COMUNA DE EL QUISCO CÓDIGO BIP 40076595-0</t>
        </is>
      </c>
      <c r="C244" s="11" t="n">
        <v>8</v>
      </c>
      <c r="D244" s="13" t="inlineStr">
        <is>
          <t>solo mencion de inmueble, sin servicio inmobiliario</t>
        </is>
      </c>
    </row>
    <row r="245">
      <c r="A245" s="11" t="inlineStr">
        <is>
          <t>3708-39-LE26</t>
        </is>
      </c>
      <c r="B245" s="13" t="inlineStr">
        <is>
          <t>SUMINISTRO DE ALARMAS PARA DEPENDENCIAS</t>
        </is>
      </c>
      <c r="C245" s="11" t="n">
        <v>8</v>
      </c>
      <c r="D245" s="13" t="inlineStr">
        <is>
          <t>solo mencion de inmueble, sin servicio inmobiliario</t>
        </is>
      </c>
    </row>
    <row r="246">
      <c r="A246" s="11" t="inlineStr">
        <is>
          <t>3708-40-LE26</t>
        </is>
      </c>
      <c r="B246" s="13" t="inlineStr">
        <is>
          <t>HABILITACION OFICINAS TRANSITO OBRAS Y OTRAS</t>
        </is>
      </c>
      <c r="C246" s="11" t="n">
        <v>16</v>
      </c>
      <c r="D246" s="13" t="inlineStr">
        <is>
          <t>score 16 &lt; 30</t>
        </is>
      </c>
    </row>
    <row r="247">
      <c r="A247" s="11" t="inlineStr">
        <is>
          <t>3761-21-LE26</t>
        </is>
      </c>
      <c r="B247" s="13" t="inlineStr">
        <is>
          <t>Desarme Limpieza e Inhabilitación de Terreno Campamento Los Leones Comuna de Coelemu</t>
        </is>
      </c>
      <c r="C247" s="11" t="n">
        <v>15</v>
      </c>
      <c r="D247" s="13" t="inlineStr">
        <is>
          <t>score 15 &lt; 30</t>
        </is>
      </c>
    </row>
    <row r="248">
      <c r="A248" s="11" t="inlineStr">
        <is>
          <t>3775-33-LE26</t>
        </is>
      </c>
      <c r="B248" s="13" t="inlineStr">
        <is>
          <t>SERV. ARRIENDO EXCAVADORA Y 2 MOTOBOMBAS HIJUELAS</t>
        </is>
      </c>
      <c r="C248" s="11" t="n">
        <v>0</v>
      </c>
      <c r="D248" s="13" t="inlineStr">
        <is>
          <t>score 0 &lt; 30</t>
        </is>
      </c>
    </row>
    <row r="249">
      <c r="A249" s="11" t="inlineStr">
        <is>
          <t>3798-19-LR26</t>
        </is>
      </c>
      <c r="B249" s="13" t="inlineStr">
        <is>
          <t>ADQUISICIÓN DE TERRENO DE INFRAESTRUCTURA PÚBLICA</t>
        </is>
      </c>
      <c r="C249" s="11" t="n">
        <v>9</v>
      </c>
      <c r="D249" s="13" t="inlineStr">
        <is>
          <t>solo mencion de inmueble, sin servicio inmobiliario</t>
        </is>
      </c>
    </row>
    <row r="250">
      <c r="A250" s="11" t="inlineStr">
        <is>
          <t>3836-37-LE26</t>
        </is>
      </c>
      <c r="B250" s="13" t="inlineStr">
        <is>
          <t>OFICINA MODULAR JUZGADO POLICIA LOCAL DE TOLTEN</t>
        </is>
      </c>
      <c r="C250" s="11" t="n">
        <v>13</v>
      </c>
      <c r="D250" s="13" t="inlineStr">
        <is>
          <t>score 13 &lt; 30</t>
        </is>
      </c>
    </row>
    <row r="251">
      <c r="A251" s="11" t="inlineStr">
        <is>
          <t>3847-41-LE26</t>
        </is>
      </c>
      <c r="B251" s="13" t="inlineStr">
        <is>
          <t>DISEÑO PLAN MAESTRO PARQUE URBANO BAQUEDANO</t>
        </is>
      </c>
      <c r="C251" s="11" t="n">
        <v>16</v>
      </c>
      <c r="D251" s="13" t="inlineStr">
        <is>
          <t>score 16 &lt; 30</t>
        </is>
      </c>
    </row>
    <row r="252">
      <c r="A252" s="11" t="inlineStr">
        <is>
          <t>3880-65-LE26</t>
        </is>
      </c>
      <c r="B252" s="13" t="inlineStr">
        <is>
          <t>SEDE SOCIAL CLUB ADULTO MAYOR SECTOR EL PARRON</t>
        </is>
      </c>
      <c r="C252" s="11" t="n">
        <v>14</v>
      </c>
      <c r="D252" s="13" t="inlineStr">
        <is>
          <t>score 14 &lt; 30</t>
        </is>
      </c>
    </row>
    <row r="253">
      <c r="A253" s="11" t="inlineStr">
        <is>
          <t>3885-51-LP26</t>
        </is>
      </c>
      <c r="B253" s="13" t="inlineStr">
        <is>
          <t xml:space="preserve">AMPLIACION OFICINA DE FINANZAS ILUSTRE MUNICIPALIDAD DE PICA </t>
        </is>
      </c>
      <c r="C253" s="11" t="n">
        <v>10</v>
      </c>
      <c r="D253" s="13" t="inlineStr">
        <is>
          <t>solo mencion de inmueble, sin servicio inmobiliario</t>
        </is>
      </c>
    </row>
    <row r="254">
      <c r="A254" s="11" t="inlineStr">
        <is>
          <t>3889-41-LP26</t>
        </is>
      </c>
      <c r="B254" s="13" t="inlineStr">
        <is>
          <t>MEJORAMIENTO AREA VERDE Y SEDE VILLA CARRANZA</t>
        </is>
      </c>
      <c r="C254" s="11" t="n">
        <v>8</v>
      </c>
      <c r="D254" s="13" t="inlineStr">
        <is>
          <t>solo mencion de inmueble, sin servicio inmobiliario</t>
        </is>
      </c>
    </row>
    <row r="255">
      <c r="A255" s="11" t="inlineStr">
        <is>
          <t>3908-44-LE26</t>
        </is>
      </c>
      <c r="B255" s="13" t="inlineStr">
        <is>
          <t>HABILITACIÓN Y SEÑALIZACIÓN PLAZOLETA RENÉ PINEDA Y MEJORAMIENTO PLAZA POBLACIÓN NUEVO VIVIR COMUNA DE RENAICO</t>
        </is>
      </c>
      <c r="C255" s="11" t="n">
        <v>0</v>
      </c>
      <c r="D255" s="13" t="inlineStr">
        <is>
          <t>score 0 &lt; 30</t>
        </is>
      </c>
    </row>
    <row r="256">
      <c r="A256" s="11" t="inlineStr">
        <is>
          <t>3912-19-LP26</t>
        </is>
      </c>
      <c r="B256" s="13" t="inlineStr">
        <is>
          <t>Construccion sede social los acacios</t>
        </is>
      </c>
      <c r="C256" s="11" t="n">
        <v>8</v>
      </c>
      <c r="D256" s="13" t="inlineStr">
        <is>
          <t>solo mencion de inmueble, sin servicio inmobiliario</t>
        </is>
      </c>
    </row>
    <row r="257">
      <c r="A257" s="11" t="inlineStr">
        <is>
          <t>3950-40-LE26</t>
        </is>
      </c>
      <c r="B257" s="13" t="inlineStr">
        <is>
          <t>MEJORAMIENTO INTERNO EXTERNO Y LIMPIEZA DE TERRENO EN POSTA DE SALUD RURAL EN LOCALIDAD DE PUERTO AGUIRRE</t>
        </is>
      </c>
      <c r="C257" s="11" t="n">
        <v>15</v>
      </c>
      <c r="D257" s="13" t="inlineStr">
        <is>
          <t>score 15 &lt; 30</t>
        </is>
      </c>
    </row>
    <row r="258">
      <c r="A258" s="11" t="inlineStr">
        <is>
          <t>3963-16-LP26</t>
        </is>
      </c>
      <c r="B258" s="13" t="inlineStr">
        <is>
          <t>Mej. Sede y Multicancha Pobl.Juan Gonzalez Peumo</t>
        </is>
      </c>
      <c r="C258" s="11" t="n">
        <v>8</v>
      </c>
      <c r="D258" s="13" t="inlineStr">
        <is>
          <t>solo mencion de inmueble, sin servicio inmobiliario</t>
        </is>
      </c>
    </row>
    <row r="259">
      <c r="A259" s="11" t="inlineStr">
        <is>
          <t>3994-29-LR26</t>
        </is>
      </c>
      <c r="B259" s="13" t="inlineStr">
        <is>
          <t>CONST. SEDE Y ESPACIO COMUNITARIO GULTRO ORIENTE</t>
        </is>
      </c>
      <c r="C259" s="11" t="n">
        <v>8</v>
      </c>
      <c r="D259" s="13" t="inlineStr">
        <is>
          <t>solo mencion de inmueble, sin servicio inmobiliario</t>
        </is>
      </c>
    </row>
    <row r="260">
      <c r="A260" s="11" t="inlineStr">
        <is>
          <t>4037-64-LE26</t>
        </is>
      </c>
      <c r="B260" s="13" t="inlineStr">
        <is>
          <t>SERVICIO REGULARIZACION Y HABILITACION SALA APICOLA</t>
        </is>
      </c>
      <c r="C260" s="11" t="n">
        <v>0</v>
      </c>
      <c r="D260" s="13" t="inlineStr">
        <is>
          <t>score 0 &lt; 30</t>
        </is>
      </c>
    </row>
    <row r="261">
      <c r="A261" s="11" t="inlineStr">
        <is>
          <t>4055-69-L126</t>
        </is>
      </c>
      <c r="B261" s="13" t="inlineStr">
        <is>
          <t>ADQUISICION DE SERVICIO DE FORMACIÓN EN TERRENO PA</t>
        </is>
      </c>
      <c r="C261" s="11" t="n">
        <v>9</v>
      </c>
      <c r="D261" s="13" t="inlineStr">
        <is>
          <t>solo mencion de inmueble, sin servicio inmobiliario</t>
        </is>
      </c>
    </row>
    <row r="262">
      <c r="A262" s="11" t="inlineStr">
        <is>
          <t>4063-1-LP26</t>
        </is>
      </c>
      <c r="B262" s="13" t="inlineStr">
        <is>
          <t>CONSTRUCCIÓN SEDE CLUB COLO COLO DE CUYÁN MARIQUINA</t>
        </is>
      </c>
      <c r="C262" s="11" t="n">
        <v>8</v>
      </c>
      <c r="D262" s="13" t="inlineStr">
        <is>
          <t>solo mencion de inmueble, sin servicio inmobiliario</t>
        </is>
      </c>
    </row>
    <row r="263">
      <c r="A263" s="11" t="inlineStr">
        <is>
          <t>4099-25-LE26</t>
        </is>
      </c>
      <c r="B263" s="13" t="inlineStr">
        <is>
          <t>Servicio de Arriendo de Gestor Documental</t>
        </is>
      </c>
      <c r="C263" s="11" t="n">
        <v>0</v>
      </c>
      <c r="D263" s="13" t="inlineStr">
        <is>
          <t>score 0 &lt; 30</t>
        </is>
      </c>
    </row>
    <row r="264">
      <c r="A264" s="11" t="inlineStr">
        <is>
          <t>411-43-CO26</t>
        </is>
      </c>
      <c r="B264" s="13" t="inlineStr">
        <is>
          <t>CONSTRUCCIÓN BODEGA MUNICIPAL SECTOR LA HUERTA</t>
        </is>
      </c>
      <c r="C264" s="11" t="n">
        <v>7</v>
      </c>
      <c r="D264" s="13" t="inlineStr">
        <is>
          <t>solo mencion de inmueble, sin servicio inmobiliario</t>
        </is>
      </c>
    </row>
    <row r="265">
      <c r="A265" s="11" t="inlineStr">
        <is>
          <t>4127-41-LE26</t>
        </is>
      </c>
      <c r="B265" s="13" t="inlineStr">
        <is>
          <t>[DIVAP] Estudio del bodegaje de ajuares</t>
        </is>
      </c>
      <c r="C265" s="11" t="n">
        <v>7</v>
      </c>
      <c r="D265" s="13" t="inlineStr">
        <is>
          <t>solo mencion de inmueble, sin servicio inmobiliario</t>
        </is>
      </c>
    </row>
    <row r="266">
      <c r="A266" s="11" t="inlineStr">
        <is>
          <t>4127-47-LE26</t>
        </is>
      </c>
      <c r="B266" s="13" t="inlineStr">
        <is>
          <t>[DIGEDEP] Curso Rehabilitación Oral</t>
        </is>
      </c>
      <c r="C266" s="11" t="n">
        <v>0</v>
      </c>
      <c r="D266" s="13" t="inlineStr">
        <is>
          <t>score 0 &lt; 30</t>
        </is>
      </c>
    </row>
    <row r="267">
      <c r="A267" s="11" t="inlineStr">
        <is>
          <t>4143-6-LE26</t>
        </is>
      </c>
      <c r="B267" s="13" t="inlineStr">
        <is>
          <t>ADQ. MATERIAL Y ARRIENDO MAQUINA BACHEO PALMILLA</t>
        </is>
      </c>
      <c r="C267" s="11" t="n">
        <v>0</v>
      </c>
      <c r="D267" s="13" t="inlineStr">
        <is>
          <t>score 0 &lt; 30</t>
        </is>
      </c>
    </row>
    <row r="268">
      <c r="A268" s="11" t="inlineStr">
        <is>
          <t>418-57-LP26</t>
        </is>
      </c>
      <c r="B268" s="13" t="inlineStr">
        <is>
          <t>SERV. ARRIENDO DE ENDOSCOPIOS Y COLONOSCOPIOS HPA</t>
        </is>
      </c>
      <c r="C268" s="11" t="n">
        <v>0</v>
      </c>
      <c r="D268" s="13" t="inlineStr">
        <is>
          <t>score 0 &lt; 30</t>
        </is>
      </c>
    </row>
    <row r="269">
      <c r="A269" s="11" t="inlineStr">
        <is>
          <t>418-60-LE26</t>
        </is>
      </c>
      <c r="B269" s="13" t="inlineStr">
        <is>
          <t>CONTRATACIÓN DE SERVICIO AUXILIAR DE BODEGA</t>
        </is>
      </c>
      <c r="C269" s="11" t="n">
        <v>13</v>
      </c>
      <c r="D269" s="13" t="inlineStr">
        <is>
          <t>score 13 &lt; 30</t>
        </is>
      </c>
    </row>
    <row r="270">
      <c r="A270" s="11" t="inlineStr">
        <is>
          <t>425-57-LR26</t>
        </is>
      </c>
      <c r="B270" s="13" t="inlineStr">
        <is>
          <t>SERVICIO DE INSPECCIÓN TÉCNICA PARA LA HABILITACIÓN DEL CENTRO DE JUSTICIA DE TEMUCO - TRIBUNAL DE FAMILIA CIVILES 1° 2° Y 3° JUZGADO DE LETRAS Y DE FAMILIA Y JUZGADO DE LETRAS DEL TRABAJO</t>
        </is>
      </c>
      <c r="C270" s="11" t="n">
        <v>0</v>
      </c>
      <c r="D270" s="13" t="inlineStr">
        <is>
          <t>score 0 &lt; 30</t>
        </is>
      </c>
    </row>
    <row r="271">
      <c r="A271" s="11" t="inlineStr">
        <is>
          <t>4295-67-LP26</t>
        </is>
      </c>
      <c r="B271" s="13" t="inlineStr">
        <is>
          <t>Servicio de enlace de datos voz IP y CCTV para oficinas remotas</t>
        </is>
      </c>
      <c r="C271" s="11" t="n">
        <v>10</v>
      </c>
      <c r="D271" s="13" t="inlineStr">
        <is>
          <t>solo mencion de inmueble, sin servicio inmobiliario</t>
        </is>
      </c>
    </row>
    <row r="272">
      <c r="A272" s="11" t="inlineStr">
        <is>
          <t>4295-82-LP26</t>
        </is>
      </c>
      <c r="B272" s="13" t="inlineStr">
        <is>
          <t>ARRIENDO INSTALACIÓN Y MANTENCIÓN DE GABINETES PSICOTÉCNICOS 2026-2029</t>
        </is>
      </c>
      <c r="C272" s="11" t="n">
        <v>0</v>
      </c>
      <c r="D272" s="13" t="inlineStr">
        <is>
          <t>score 0 &lt; 30</t>
        </is>
      </c>
    </row>
    <row r="273">
      <c r="A273" s="11" t="inlineStr">
        <is>
          <t>4306-32-LE26</t>
        </is>
      </c>
      <c r="B273" s="13" t="inlineStr">
        <is>
          <t>ADQUISICION EQUIPAMIENTO CASA PROG. HABITABILIDAD</t>
        </is>
      </c>
      <c r="C273" s="11" t="n">
        <v>5</v>
      </c>
      <c r="D273" s="13" t="inlineStr">
        <is>
          <t>solo mencion de inmueble, sin servicio inmobiliario</t>
        </is>
      </c>
    </row>
    <row r="274">
      <c r="A274" s="11" t="inlineStr">
        <is>
          <t>4309-233-LP26</t>
        </is>
      </c>
      <c r="B274" s="13" t="inlineStr">
        <is>
          <t>CONVENIO SUMINISTRO PARA EXÁMENES DE COAGULACIÓN CON EQUIPAMIENTO EN COMODATO 2026</t>
        </is>
      </c>
      <c r="C274" s="11" t="n">
        <v>0</v>
      </c>
      <c r="D274" s="13" t="inlineStr">
        <is>
          <t>score 0 &lt; 30</t>
        </is>
      </c>
    </row>
    <row r="275">
      <c r="A275" s="11" t="inlineStr">
        <is>
          <t>4328-33-B226</t>
        </is>
      </c>
      <c r="B275" s="13" t="inlineStr">
        <is>
          <t>ADQUISICIÓN TERRENO TIUQUILEMU</t>
        </is>
      </c>
      <c r="C275" s="11" t="n">
        <v>9</v>
      </c>
      <c r="D275" s="13" t="inlineStr">
        <is>
          <t>solo mencion de inmueble, sin servicio inmobiliario</t>
        </is>
      </c>
    </row>
    <row r="276">
      <c r="A276" s="11" t="inlineStr">
        <is>
          <t>4342-2-LP26</t>
        </is>
      </c>
      <c r="B276" s="13" t="inlineStr">
        <is>
          <t>SERVICIOS PARA LAS DEPENDENCIAS DE LA DRMN</t>
        </is>
      </c>
      <c r="C276" s="11" t="n">
        <v>14</v>
      </c>
      <c r="D276" s="13" t="inlineStr">
        <is>
          <t>score 14 &lt; 30</t>
        </is>
      </c>
    </row>
    <row r="277">
      <c r="A277" s="11" t="inlineStr">
        <is>
          <t>439-26-LP26</t>
        </is>
      </c>
      <c r="B277" s="13" t="inlineStr">
        <is>
          <t>HABILITACIÓN DE PATIOS RECREATIVOS ESCUELA MEC</t>
        </is>
      </c>
      <c r="C277" s="11" t="n">
        <v>0</v>
      </c>
      <c r="D277" s="13" t="inlineStr">
        <is>
          <t>score 0 &lt; 30</t>
        </is>
      </c>
    </row>
    <row r="278">
      <c r="A278" s="11" t="inlineStr">
        <is>
          <t>4451-102-LE26</t>
        </is>
      </c>
      <c r="B278" s="13" t="inlineStr">
        <is>
          <t>Reparación de cubiertas de edificio Polideportivo</t>
        </is>
      </c>
      <c r="C278" s="11" t="n">
        <v>8</v>
      </c>
      <c r="D278" s="13" t="inlineStr">
        <is>
          <t>solo mencion de inmueble, sin servicio inmobiliario</t>
        </is>
      </c>
    </row>
    <row r="279">
      <c r="A279" s="11" t="inlineStr">
        <is>
          <t>4494-64-LP26</t>
        </is>
      </c>
      <c r="B279" s="13" t="inlineStr">
        <is>
          <t>REHABILITACION VIAL INCENDIOS FORESTALES LIRQUEN</t>
        </is>
      </c>
      <c r="C279" s="11" t="n">
        <v>0</v>
      </c>
      <c r="D279" s="13" t="inlineStr">
        <is>
          <t>score 0 &lt; 30</t>
        </is>
      </c>
    </row>
    <row r="280">
      <c r="A280" s="11" t="inlineStr">
        <is>
          <t>4494-65-LP26</t>
        </is>
      </c>
      <c r="B280" s="13" t="inlineStr">
        <is>
          <t>REHABILITACION VIAL INCENDIOS FORESTALES PENCO</t>
        </is>
      </c>
      <c r="C280" s="11" t="n">
        <v>0</v>
      </c>
      <c r="D280" s="13" t="inlineStr">
        <is>
          <t>score 0 &lt; 30</t>
        </is>
      </c>
    </row>
    <row r="281">
      <c r="A281" s="11" t="inlineStr">
        <is>
          <t>45-45-LR26</t>
        </is>
      </c>
      <c r="B281" s="13" t="inlineStr">
        <is>
          <t>SERVICIO DE SEGURIDAD FISICA PARA DEPENDENCIAS DEL SENCE NIVEL CENTRAL Y DIRECCION REGIONAL METROPOLITANA</t>
        </is>
      </c>
      <c r="C281" s="11" t="n">
        <v>8</v>
      </c>
      <c r="D281" s="13" t="inlineStr">
        <is>
          <t>solo mencion de inmueble, sin servicio inmobiliario</t>
        </is>
      </c>
    </row>
    <row r="282">
      <c r="A282" s="11" t="inlineStr">
        <is>
          <t>45-48-LE26</t>
        </is>
      </c>
      <c r="B282" s="13" t="inlineStr">
        <is>
          <t>SERVICIO DE MANTENCIÓN DE NUBES ACÚSTICAS PARA LAS DEPENDENCIAS DEL PRIMER PISO SENCE NIVEL CENTRAL</t>
        </is>
      </c>
      <c r="C282" s="11" t="n">
        <v>8</v>
      </c>
      <c r="D282" s="13" t="inlineStr">
        <is>
          <t>solo mencion de inmueble, sin servicio inmobiliario</t>
        </is>
      </c>
    </row>
    <row r="283">
      <c r="A283" s="11" t="inlineStr">
        <is>
          <t>4584-13-LE26</t>
        </is>
      </c>
      <c r="B283" s="13" t="inlineStr">
        <is>
          <t>SEGUNDO LLAMADO MEJORAMIENTO RECINTO EX INTERNADO MUNICIPAL MARCHIGUE</t>
        </is>
      </c>
      <c r="C283" s="11" t="n">
        <v>5</v>
      </c>
      <c r="D283" s="13" t="inlineStr">
        <is>
          <t>solo mencion de inmueble, sin servicio inmobiliario</t>
        </is>
      </c>
    </row>
    <row r="284">
      <c r="A284" s="11" t="inlineStr">
        <is>
          <t>4631-19-LP26</t>
        </is>
      </c>
      <c r="B284" s="13" t="inlineStr">
        <is>
          <t>CONSULTORÍA PLAN MAESTRO VIDEOVIGILANCIA L12-26</t>
        </is>
      </c>
      <c r="C284" s="11" t="n">
        <v>28</v>
      </c>
      <c r="D284" s="13" t="inlineStr">
        <is>
          <t>score 28 &lt; 30</t>
        </is>
      </c>
    </row>
    <row r="285">
      <c r="A285" s="11" t="inlineStr">
        <is>
          <t>4642-91-LP26</t>
        </is>
      </c>
      <c r="B285" s="13" t="inlineStr">
        <is>
          <t xml:space="preserve">PROVISIÓN E INSTALACIÓN DE UN 1 DENSITÓMETRO ÓSEO CON OBRAS DE HABILITACIÓN DESTINADO AL SERVICIO DE IMAGENOLOGÍA DEL HOSPITAL DE CARABINEROS. </t>
        </is>
      </c>
      <c r="C285" s="11" t="n">
        <v>0</v>
      </c>
      <c r="D285" s="13" t="inlineStr">
        <is>
          <t>score 0 &lt; 30</t>
        </is>
      </c>
    </row>
    <row r="286">
      <c r="A286" s="11" t="inlineStr">
        <is>
          <t>4686-30-LE26</t>
        </is>
      </c>
      <c r="B286" s="13" t="inlineStr">
        <is>
          <t>Servicio de arrendamiento de bodegas</t>
        </is>
      </c>
      <c r="C286" s="11" t="n">
        <v>19</v>
      </c>
      <c r="D286" s="13" t="inlineStr">
        <is>
          <t>score 19 &lt; 30</t>
        </is>
      </c>
    </row>
    <row r="287">
      <c r="A287" s="11" t="inlineStr">
        <is>
          <t>4803-29-LP26</t>
        </is>
      </c>
      <c r="B287" s="13" t="inlineStr">
        <is>
          <t>SERVICIOS PROFESIONALES Y ARRIENDO DE EQUIPAMIENTO</t>
        </is>
      </c>
      <c r="C287" s="11" t="n">
        <v>0</v>
      </c>
      <c r="D287" s="13" t="inlineStr">
        <is>
          <t>score 0 &lt; 30</t>
        </is>
      </c>
    </row>
    <row r="288">
      <c r="A288" s="11" t="inlineStr">
        <is>
          <t>4887-28-E226</t>
        </is>
      </c>
      <c r="B288" s="13" t="inlineStr">
        <is>
          <t>Obras de habilitación Centro de Creación Temuco</t>
        </is>
      </c>
      <c r="C288" s="11" t="n">
        <v>8</v>
      </c>
      <c r="D288" s="13" t="inlineStr">
        <is>
          <t>score 8 &lt; 30</t>
        </is>
      </c>
    </row>
    <row r="289">
      <c r="A289" s="11" t="inlineStr">
        <is>
          <t>4967-35-LP26</t>
        </is>
      </c>
      <c r="B289" s="13" t="inlineStr">
        <is>
          <t>CONVENIO DE SUMINISTRO DE CÁNULAS DE ALTO FLUJO CON EQUIPO EN COMODATO</t>
        </is>
      </c>
      <c r="C289" s="11" t="n">
        <v>0</v>
      </c>
      <c r="D289" s="13" t="inlineStr">
        <is>
          <t>score 0 &lt; 30</t>
        </is>
      </c>
    </row>
    <row r="290">
      <c r="A290" s="11" t="inlineStr">
        <is>
          <t>5048-51-O126</t>
        </is>
      </c>
      <c r="B290" s="13" t="inlineStr">
        <is>
          <t>AIF TRES VENTANAS TRAMO 2</t>
        </is>
      </c>
      <c r="C290" s="11" t="n">
        <v>0</v>
      </c>
      <c r="D290" s="13" t="inlineStr">
        <is>
          <t>score 0 &lt; 30</t>
        </is>
      </c>
    </row>
    <row r="291">
      <c r="A291" s="11" t="inlineStr">
        <is>
          <t>5056-108-LP26</t>
        </is>
      </c>
      <c r="B291" s="13" t="inlineStr">
        <is>
          <t>ARRIENDO DE REENVASADORA AUTOMÁTICA DE MEDICAMENTOS</t>
        </is>
      </c>
      <c r="C291" s="11" t="n">
        <v>0</v>
      </c>
      <c r="D291" s="13" t="inlineStr">
        <is>
          <t>score 0 &lt; 30</t>
        </is>
      </c>
    </row>
    <row r="292">
      <c r="A292" s="11" t="inlineStr">
        <is>
          <t>5240-102-LR26</t>
        </is>
      </c>
      <c r="B292" s="13" t="inlineStr">
        <is>
          <t>CONTRATACIÓN DEL SERVICIO DE TRASLADO Y APOYO LOGÍSTICO DEL SEMINARIO INTERNACIONAL AÑO 2026 DE LA ESCUELA DE CARABINEROS DE CHILE</t>
        </is>
      </c>
      <c r="C292" s="11" t="n">
        <v>0</v>
      </c>
      <c r="D292" s="13" t="inlineStr">
        <is>
          <t>score 0 &lt; 30</t>
        </is>
      </c>
    </row>
    <row r="293">
      <c r="A293" s="11" t="inlineStr">
        <is>
          <t>528208-35-LP26</t>
        </is>
      </c>
      <c r="B293" s="13" t="inlineStr">
        <is>
          <t>HABILITACIÓN DE CRUCE SEMAFORIZADO EN CALLES SALVADOR GUTIÉRREZ - RESBALÓN - FANALOZA</t>
        </is>
      </c>
      <c r="C293" s="11" t="n">
        <v>0</v>
      </c>
      <c r="D293" s="13" t="inlineStr">
        <is>
          <t>score 0 &lt; 30</t>
        </is>
      </c>
    </row>
    <row r="294">
      <c r="A294" s="11" t="inlineStr">
        <is>
          <t>5349-90-LR26</t>
        </is>
      </c>
      <c r="B294" s="13" t="inlineStr">
        <is>
          <t>SERVICIOS DE TRANSPORTE INTERURBANO DE LOCOMOCIÓN COLECTIVA PARA TRASLADO DE PACIENTES Y FUNCIONARIOS DEL HOSPITAL</t>
        </is>
      </c>
      <c r="C294" s="11" t="n">
        <v>0</v>
      </c>
      <c r="D294" s="13" t="inlineStr">
        <is>
          <t>score 0 &lt; 30</t>
        </is>
      </c>
    </row>
    <row r="295">
      <c r="A295" s="11" t="inlineStr">
        <is>
          <t>539119-80-LP26</t>
        </is>
      </c>
      <c r="B295" s="13" t="inlineStr">
        <is>
          <t>CONTRATACIÓN DE SERVICIOS DE EMERGENCIAS SANITARIAS REPARACIÓN YO REPOSICIÓN DE REDES DE ALCANTARILLADO AGUA POTABLE Y REDES DE GAS EN INMUEBLES UBICADOS EN LA REGIÓN METROPOLITANA DEPENDIENTE DE LA DIRECCIÓN DE BIENESTAR DE CARABINEROS</t>
        </is>
      </c>
      <c r="C295" s="11" t="n">
        <v>14</v>
      </c>
      <c r="D295" s="13" t="inlineStr">
        <is>
          <t>solo mencion de inmueble, sin servicio inmobiliario</t>
        </is>
      </c>
    </row>
    <row r="296">
      <c r="A296" s="11" t="inlineStr">
        <is>
          <t>539119-90-LE26</t>
        </is>
      </c>
      <c r="B296" s="13" t="inlineStr">
        <is>
          <t>PROYECTO DE ADQUISICIÓN INSTALACIÓN Y PUESTA EN MARCHA DE TOBOGÁN PARA PISCINAS DE LA COMISIÓN ADMINISTRATIVA CLUB DE CAMPO CUMBRES ADMINISTRADO POR EL DEPARTAMENTO RECREACIONAL Y GASTRONÓMICO B.1. DE LA DIRECCIÓN DE BIENESTAR DE CARABINEROS</t>
        </is>
      </c>
      <c r="C296" s="11" t="n">
        <v>5</v>
      </c>
      <c r="D296" s="13" t="inlineStr">
        <is>
          <t>solo mencion de inmueble, sin servicio inmobiliario</t>
        </is>
      </c>
    </row>
    <row r="297">
      <c r="A297" s="11" t="inlineStr">
        <is>
          <t>5418-13-LE26</t>
        </is>
      </c>
      <c r="B297" s="13" t="inlineStr">
        <is>
          <t>Digitalización Documentos Almacenados Bodega</t>
        </is>
      </c>
      <c r="C297" s="11" t="n">
        <v>7</v>
      </c>
      <c r="D297" s="13" t="inlineStr">
        <is>
          <t>solo mencion de inmueble, sin servicio inmobiliario</t>
        </is>
      </c>
    </row>
    <row r="298">
      <c r="A298" s="11" t="inlineStr">
        <is>
          <t>547640-16-L126</t>
        </is>
      </c>
      <c r="B298" s="13" t="inlineStr">
        <is>
          <t xml:space="preserve">MEJORAMIENTO Y HABILITACIÓN CASA DE SALUD MENTAL </t>
        </is>
      </c>
      <c r="C298" s="11" t="n">
        <v>17</v>
      </c>
      <c r="D298" s="13" t="inlineStr">
        <is>
          <t>score 17 &lt; 30</t>
        </is>
      </c>
    </row>
    <row r="299">
      <c r="A299" s="11" t="inlineStr">
        <is>
          <t>5482-102-LE26</t>
        </is>
      </c>
      <c r="B299" s="13" t="inlineStr">
        <is>
          <t>ARRIENDO Y MANTENCIÓN DE 2 ESCANERES PARA DOM</t>
        </is>
      </c>
      <c r="C299" s="11" t="n">
        <v>0</v>
      </c>
      <c r="D299" s="13" t="inlineStr">
        <is>
          <t>score 0 &lt; 30</t>
        </is>
      </c>
    </row>
    <row r="300">
      <c r="A300" s="11" t="inlineStr">
        <is>
          <t>548874-70-LR26</t>
        </is>
      </c>
      <c r="B300" s="13" t="inlineStr">
        <is>
          <t>SERV MULTIBAM SUCURSALES Y GOBIERNOS EN TERRENO</t>
        </is>
      </c>
      <c r="C300" s="11" t="n">
        <v>9</v>
      </c>
      <c r="D300" s="13" t="inlineStr">
        <is>
          <t>solo mencion de inmueble, sin servicio inmobiliario</t>
        </is>
      </c>
    </row>
    <row r="301">
      <c r="A301" s="11" t="inlineStr">
        <is>
          <t>5510-7-LR26</t>
        </is>
      </c>
      <c r="B301" s="13" t="inlineStr">
        <is>
          <t>HABILITACIÓN CAFETERÍA ZÓCALO TORRE JEA - FCFM</t>
        </is>
      </c>
      <c r="C301" s="11" t="n">
        <v>0</v>
      </c>
      <c r="D301" s="13" t="inlineStr">
        <is>
          <t>score 0 &lt; 30</t>
        </is>
      </c>
    </row>
    <row r="302">
      <c r="A302" s="11" t="inlineStr">
        <is>
          <t>5596-5-LP26</t>
        </is>
      </c>
      <c r="B302" s="13" t="inlineStr">
        <is>
          <t>INVENTARIO PATRIMONIO CULTURAL INMUEBLE AYP.</t>
        </is>
      </c>
      <c r="C302" s="11" t="n">
        <v>26</v>
      </c>
      <c r="D302" s="13" t="inlineStr">
        <is>
          <t>score 26 &lt; 30</t>
        </is>
      </c>
    </row>
    <row r="303">
      <c r="A303" s="11" t="inlineStr">
        <is>
          <t>564953-71-LP26</t>
        </is>
      </c>
      <c r="B303" s="13" t="inlineStr">
        <is>
          <t>HABILITACIÓN FARMACIA COMUNAL COLON</t>
        </is>
      </c>
      <c r="C303" s="11" t="n">
        <v>0</v>
      </c>
      <c r="D303" s="13" t="inlineStr">
        <is>
          <t>score 0 &lt; 30</t>
        </is>
      </c>
    </row>
    <row r="304">
      <c r="A304" s="11" t="inlineStr">
        <is>
          <t>568658-43-LR26</t>
        </is>
      </c>
      <c r="B304" s="13" t="inlineStr">
        <is>
          <t xml:space="preserve">COMODATO DE EQUIPAMIENTO MICROBIOLOGIA </t>
        </is>
      </c>
      <c r="C304" s="11" t="n">
        <v>0</v>
      </c>
      <c r="D304" s="13" t="inlineStr">
        <is>
          <t>score 0 &lt; 30</t>
        </is>
      </c>
    </row>
    <row r="305">
      <c r="A305" s="11" t="inlineStr">
        <is>
          <t>584264-46-LE26</t>
        </is>
      </c>
      <c r="B305" s="13" t="inlineStr">
        <is>
          <t>HABILITACIÓN POSTA URBANA SARA GAJARDO</t>
        </is>
      </c>
      <c r="C305" s="11" t="n">
        <v>10</v>
      </c>
      <c r="D305" s="13" t="inlineStr">
        <is>
          <t>score 10 &lt; 30</t>
        </is>
      </c>
    </row>
    <row r="306">
      <c r="A306" s="11" t="inlineStr">
        <is>
          <t>5858-6-LP26</t>
        </is>
      </c>
      <c r="B306" s="13" t="inlineStr">
        <is>
          <t>MEJORAMIENTO SEDE SOCIAL LOCALIDAD CERRO BLANCO-O</t>
        </is>
      </c>
      <c r="C306" s="11" t="n">
        <v>11</v>
      </c>
      <c r="D306" s="13" t="inlineStr">
        <is>
          <t>score 11 &lt; 30</t>
        </is>
      </c>
    </row>
    <row r="307">
      <c r="A307" s="11" t="inlineStr">
        <is>
          <t>608897-57-LE26</t>
        </is>
      </c>
      <c r="B307" s="13" t="inlineStr">
        <is>
          <t>REPRESENTACIÓN EN PROCESO DE MANTENCIÓN DE LA ACREDITACIÓN ENAC ISOIEC17025:2017 DEL SISTEMA DE GESTIÓN DE CALIDAD DEL DEPARTAMENTO REDES DE MONITOREO</t>
        </is>
      </c>
      <c r="C307" s="11" t="n">
        <v>5</v>
      </c>
      <c r="D307" s="13" t="inlineStr">
        <is>
          <t>solo mencion de inmueble, sin servicio inmobiliario</t>
        </is>
      </c>
    </row>
    <row r="308">
      <c r="A308" s="11" t="inlineStr">
        <is>
          <t>614795-7-LE26</t>
        </is>
      </c>
      <c r="B308" s="13" t="inlineStr">
        <is>
          <t>Inventario de Emisiones art 73 DS 18-23</t>
        </is>
      </c>
      <c r="C308" s="11" t="n">
        <v>0</v>
      </c>
      <c r="D308" s="13" t="inlineStr">
        <is>
          <t>score 0 &lt; 30</t>
        </is>
      </c>
    </row>
    <row r="309">
      <c r="A309" s="11" t="inlineStr">
        <is>
          <t>622847-13-LE26</t>
        </is>
      </c>
      <c r="B309" s="13" t="inlineStr">
        <is>
          <t>AIFO REPOSICIÓN CERCO PERIMETRAL TERRENO VAITEA RN</t>
        </is>
      </c>
      <c r="C309" s="11" t="n">
        <v>21</v>
      </c>
      <c r="D309" s="13" t="inlineStr">
        <is>
          <t>score 21 &lt; 30</t>
        </is>
      </c>
    </row>
    <row r="310">
      <c r="A310" s="11" t="inlineStr">
        <is>
          <t>633-54-LP26</t>
        </is>
      </c>
      <c r="B310" s="13" t="inlineStr">
        <is>
          <t>CONVENIO DE SUMINISTRO SERVICIO DE ARRIENDO DE MOD</t>
        </is>
      </c>
      <c r="C310" s="11" t="n">
        <v>0</v>
      </c>
      <c r="D310" s="13" t="inlineStr">
        <is>
          <t>score 0 &lt; 30</t>
        </is>
      </c>
    </row>
    <row r="311">
      <c r="A311" s="11" t="inlineStr">
        <is>
          <t>634-82-LE26</t>
        </is>
      </c>
      <c r="B311" s="13" t="inlineStr">
        <is>
          <t>REACTIVOS QUÍMICOS PARA EL DEPARTAMENTO DE SEGURI</t>
        </is>
      </c>
      <c r="C311" s="11" t="n">
        <v>5</v>
      </c>
      <c r="D311" s="13" t="inlineStr">
        <is>
          <t>solo mencion de inmueble, sin servicio inmobiliario</t>
        </is>
      </c>
    </row>
    <row r="312">
      <c r="A312" s="11" t="inlineStr">
        <is>
          <t>638-14-O126</t>
        </is>
      </c>
      <c r="B312" s="13" t="inlineStr">
        <is>
          <t>CONSTRUCCIÓN EDIFICIO INSTITUCIONAL MINVU MAGALLANES Y ANTÁRTICA CHILENA</t>
        </is>
      </c>
      <c r="C312" s="11" t="n">
        <v>8</v>
      </c>
      <c r="D312" s="13" t="inlineStr">
        <is>
          <t>solo mencion de inmueble, sin servicio inmobiliario</t>
        </is>
      </c>
    </row>
    <row r="313">
      <c r="A313" s="11" t="inlineStr">
        <is>
          <t>652-49-LE26</t>
        </is>
      </c>
      <c r="B313" s="13" t="inlineStr">
        <is>
          <t>Arriendo de Móviles Traslado Funcionarios Usuarios</t>
        </is>
      </c>
      <c r="C313" s="11" t="n">
        <v>14</v>
      </c>
      <c r="D313" s="13" t="inlineStr">
        <is>
          <t>score 14 &lt; 30</t>
        </is>
      </c>
    </row>
    <row r="314">
      <c r="A314" s="11" t="inlineStr">
        <is>
          <t>653-15-O126</t>
        </is>
      </c>
      <c r="B314" s="13" t="inlineStr">
        <is>
          <t>Habilitación de Terrenos Etapa V Lote D y E, Las Americas, Talca</t>
        </is>
      </c>
      <c r="C314" s="11" t="n">
        <v>15</v>
      </c>
      <c r="D314" s="13" t="inlineStr">
        <is>
          <t>score 15 &lt; 30</t>
        </is>
      </c>
    </row>
    <row r="315">
      <c r="A315" s="11" t="inlineStr">
        <is>
          <t>657-7-LE26</t>
        </is>
      </c>
      <c r="B315" s="13" t="inlineStr">
        <is>
          <t>FTO DS49 CS Nuevos terrenos Chile Chico Serviu</t>
        </is>
      </c>
      <c r="C315" s="11" t="n">
        <v>9</v>
      </c>
      <c r="D315" s="13" t="inlineStr">
        <is>
          <t>solo mencion de inmueble, sin servicio inmobiliario</t>
        </is>
      </c>
    </row>
    <row r="316">
      <c r="A316" s="11" t="inlineStr">
        <is>
          <t>673663-20-LP26</t>
        </is>
      </c>
      <c r="B316" s="13" t="inlineStr">
        <is>
          <t>CONSTRUCCION SEDE SOCIAL EL BOSQUE COMUNA DE ANDA</t>
        </is>
      </c>
      <c r="C316" s="11" t="n">
        <v>8</v>
      </c>
      <c r="D316" s="13" t="inlineStr">
        <is>
          <t>solo mencion de inmueble, sin servicio inmobiliario</t>
        </is>
      </c>
    </row>
    <row r="317">
      <c r="A317" s="11" t="inlineStr">
        <is>
          <t>688-11-LP26</t>
        </is>
      </c>
      <c r="B317" s="13" t="inlineStr">
        <is>
          <t>Arriendo Infraestructura de Respaldo</t>
        </is>
      </c>
      <c r="C317" s="11" t="n">
        <v>0</v>
      </c>
      <c r="D317" s="13" t="inlineStr">
        <is>
          <t>score 0 &lt; 30</t>
        </is>
      </c>
    </row>
    <row r="318">
      <c r="A318" s="11" t="inlineStr">
        <is>
          <t>696217-4-LE26</t>
        </is>
      </c>
      <c r="B318" s="13" t="inlineStr">
        <is>
          <t>Serv de Mantencion de inmueble Oficina Colchane</t>
        </is>
      </c>
      <c r="C318" s="11" t="n">
        <v>17</v>
      </c>
      <c r="D318" s="13" t="inlineStr">
        <is>
          <t>score 17 &lt; 30</t>
        </is>
      </c>
    </row>
    <row r="319">
      <c r="A319" s="11" t="inlineStr">
        <is>
          <t>696961-4-LP26</t>
        </is>
      </c>
      <c r="B319" s="13" t="inlineStr">
        <is>
          <t>HABILITACIÓN DE OFICINAS PROYECTO CENTRALIZADO</t>
        </is>
      </c>
      <c r="C319" s="11" t="n">
        <v>16</v>
      </c>
      <c r="D319" s="13" t="inlineStr">
        <is>
          <t>score 16 &lt; 30</t>
        </is>
      </c>
    </row>
    <row r="320">
      <c r="A320" s="11" t="inlineStr">
        <is>
          <t>697055-7-LE26</t>
        </is>
      </c>
      <c r="B320" s="13" t="inlineStr">
        <is>
          <t xml:space="preserve">HABILITACION SALA ENTREVISTA VIDEO GRABADA </t>
        </is>
      </c>
      <c r="C320" s="11" t="n">
        <v>0</v>
      </c>
      <c r="D320" s="13" t="inlineStr">
        <is>
          <t>score 0 &lt; 30</t>
        </is>
      </c>
    </row>
    <row r="321">
      <c r="A321" s="11" t="inlineStr">
        <is>
          <t>699866-116-LP26</t>
        </is>
      </c>
      <c r="B321" s="13" t="inlineStr">
        <is>
          <t xml:space="preserve">Bolsa de  aspiración  3lts con equipo en comodato </t>
        </is>
      </c>
      <c r="C321" s="11" t="n">
        <v>0</v>
      </c>
      <c r="D321" s="13" t="inlineStr">
        <is>
          <t>score 0 &lt; 30</t>
        </is>
      </c>
    </row>
    <row r="322">
      <c r="A322" s="11" t="inlineStr">
        <is>
          <t>711841-14-L126</t>
        </is>
      </c>
      <c r="B322" s="13" t="inlineStr">
        <is>
          <t>MANTENCION SISTEMA CONTROL DE INCENDIO EDIFICIO MDSYF</t>
        </is>
      </c>
      <c r="C322" s="11" t="n">
        <v>8</v>
      </c>
      <c r="D322" s="13" t="inlineStr">
        <is>
          <t>solo mencion de inmueble, sin servicio inmobiliario</t>
        </is>
      </c>
    </row>
    <row r="323">
      <c r="A323" s="11" t="inlineStr">
        <is>
          <t>761391-137-LE26</t>
        </is>
      </c>
      <c r="B323" s="13" t="inlineStr">
        <is>
          <t>83 EA GUB ECG HABILITACIÓN Y REMODELACIÓN DE BAÑOS DEL PABELLÓN DE DORMITORIOS ESCUELA DE AVIACIÓN.</t>
        </is>
      </c>
      <c r="C323" s="11" t="n">
        <v>0</v>
      </c>
      <c r="D323" s="13" t="inlineStr">
        <is>
          <t>score 0 &lt; 30</t>
        </is>
      </c>
    </row>
    <row r="324">
      <c r="A324" s="11" t="inlineStr">
        <is>
          <t>768-19-LR26</t>
        </is>
      </c>
      <c r="B324" s="13" t="inlineStr">
        <is>
          <t>REPOSICIÓN SEDE CLUB CULTURAL Y SOCIAL JORGE V</t>
        </is>
      </c>
      <c r="C324" s="11" t="n">
        <v>8</v>
      </c>
      <c r="D324" s="13" t="inlineStr">
        <is>
          <t>solo mencion de inmueble, sin servicio inmobiliario</t>
        </is>
      </c>
    </row>
    <row r="325">
      <c r="A325" s="11" t="inlineStr">
        <is>
          <t>769-84-LP26</t>
        </is>
      </c>
      <c r="B325" s="13" t="inlineStr">
        <is>
          <t>KIT DETECCIÓN VPH POR PCR Y EQUIP. COMODATO PP-88</t>
        </is>
      </c>
      <c r="C325" s="11" t="n">
        <v>0</v>
      </c>
      <c r="D325" s="13" t="inlineStr">
        <is>
          <t>score 0 &lt; 30</t>
        </is>
      </c>
    </row>
    <row r="326">
      <c r="A326" s="11" t="inlineStr">
        <is>
          <t>777304-55-LP26</t>
        </is>
      </c>
      <c r="B326" s="13" t="inlineStr">
        <is>
          <t>SERVICIO DE ARRIENDO DE MESA TRAUMATOLÓGICA</t>
        </is>
      </c>
      <c r="C326" s="11" t="n">
        <v>0</v>
      </c>
      <c r="D326" s="13" t="inlineStr">
        <is>
          <t>score 0 &lt; 30</t>
        </is>
      </c>
    </row>
    <row r="327">
      <c r="A327" s="11" t="inlineStr">
        <is>
          <t>780724-6-LE26</t>
        </is>
      </c>
      <c r="B327" s="13" t="inlineStr">
        <is>
          <t>Remodelación dependencias TercerTribunal Ambiental</t>
        </is>
      </c>
      <c r="C327" s="11" t="n">
        <v>8</v>
      </c>
      <c r="D327" s="13" t="inlineStr">
        <is>
          <t>solo mencion de inmueble, sin servicio inmobiliario</t>
        </is>
      </c>
    </row>
    <row r="328">
      <c r="A328" s="11" t="inlineStr">
        <is>
          <t>820-3-O126</t>
        </is>
      </c>
      <c r="B328" s="13" t="inlineStr">
        <is>
          <t>RESTAURACIÓN Y HABILITACIÓN BIBLIOTECA MUNICIPAL EX ESCUELA 3, HUASCO</t>
        </is>
      </c>
      <c r="C328" s="11" t="n">
        <v>0</v>
      </c>
      <c r="D328" s="13" t="inlineStr">
        <is>
          <t>score 0 &lt; 30</t>
        </is>
      </c>
    </row>
    <row r="329">
      <c r="A329" s="11" t="inlineStr">
        <is>
          <t>829-2-O126</t>
        </is>
      </c>
      <c r="B329" s="13" t="inlineStr">
        <is>
          <t>HABILITACION Y AMPLIACION EDIFICIO GORE MAGALLANES-2DO LLAMADO</t>
        </is>
      </c>
      <c r="C329" s="11" t="n">
        <v>14</v>
      </c>
      <c r="D329" s="13" t="inlineStr">
        <is>
          <t>score 14 &lt; 30</t>
        </is>
      </c>
    </row>
    <row r="330">
      <c r="A330" s="11" t="inlineStr">
        <is>
          <t>838794-10-LE26</t>
        </is>
      </c>
      <c r="B330" s="13" t="inlineStr">
        <is>
          <t>SERV DE CIERRE DE TABIQUERÍA EN PAREDES DE OFICINA PALIATIVO DEL CENTRO DE ATENCIÓN PRIMARIA DE SALU DE VILLA ALEMANA</t>
        </is>
      </c>
      <c r="C330" s="11" t="n">
        <v>10</v>
      </c>
      <c r="D330" s="13" t="inlineStr">
        <is>
          <t>solo mencion de inmueble, sin servicio inmobiliario</t>
        </is>
      </c>
    </row>
    <row r="331">
      <c r="A331" s="11" t="inlineStr">
        <is>
          <t>839186-11-LP26</t>
        </is>
      </c>
      <c r="B331" s="13" t="inlineStr">
        <is>
          <t>2 LLAMADO HABILITACIÓN CANCHA DE FÚTBOL Y CIERRE</t>
        </is>
      </c>
      <c r="C331" s="11" t="n">
        <v>0</v>
      </c>
      <c r="D331" s="13" t="inlineStr">
        <is>
          <t>score 0 &lt; 30</t>
        </is>
      </c>
    </row>
    <row r="332">
      <c r="A332" s="11" t="inlineStr">
        <is>
          <t>867990-89-L126</t>
        </is>
      </c>
      <c r="B332" s="13" t="inlineStr">
        <is>
          <t>CDP 92973 CC 102 - “26-TE-BA-FORROS METÁLICOS TECHUMBRE BAÑOS 1ER PISO DIMEC, EDIFICIO 710, FACULTAD DE INGENIERÍA”.</t>
        </is>
      </c>
      <c r="C332" s="11" t="n">
        <v>8</v>
      </c>
      <c r="D332" s="13" t="inlineStr">
        <is>
          <t>solo mencion de inmueble, sin servicio inmobiliario</t>
        </is>
      </c>
    </row>
    <row r="333">
      <c r="A333" s="11" t="inlineStr">
        <is>
          <t>875646-69-LP26</t>
        </is>
      </c>
      <c r="B333" s="13" t="inlineStr">
        <is>
          <t>JCB. Servicio de arriendo de sistema RISPACS</t>
        </is>
      </c>
      <c r="C333" s="11" t="n">
        <v>0</v>
      </c>
      <c r="D333" s="13" t="inlineStr">
        <is>
          <t>score 0 &lt; 30</t>
        </is>
      </c>
    </row>
    <row r="334">
      <c r="A334" s="11" t="inlineStr">
        <is>
          <t>886954-176-LP26</t>
        </is>
      </c>
      <c r="B334" s="13" t="inlineStr">
        <is>
          <t>Convenio De Suministro por Tubos con Sensor y Sonda Estimuladora con equipo en Comodato</t>
        </is>
      </c>
      <c r="C334" s="11" t="n">
        <v>0</v>
      </c>
      <c r="D334" s="13" t="inlineStr">
        <is>
          <t>score 0 &lt; 30</t>
        </is>
      </c>
    </row>
    <row r="335">
      <c r="A335" s="11" t="inlineStr">
        <is>
          <t>886954-294-LP26</t>
        </is>
      </c>
      <c r="B335" s="13" t="inlineStr">
        <is>
          <t>Conv. Suministro Prótesis Para U. Medicina Fisica y Rehabilitación del HGGB</t>
        </is>
      </c>
      <c r="C335" s="11" t="n">
        <v>0</v>
      </c>
      <c r="D335" s="13" t="inlineStr">
        <is>
          <t>score 0 &lt; 30</t>
        </is>
      </c>
    </row>
    <row r="336">
      <c r="A336" s="11" t="inlineStr">
        <is>
          <t>886954-298-LP26</t>
        </is>
      </c>
      <c r="B336" s="13" t="inlineStr">
        <is>
          <t>Convenio Suministro de Cataratas con Equipos en Comodatos</t>
        </is>
      </c>
      <c r="C336" s="11" t="n">
        <v>0</v>
      </c>
      <c r="D336" s="13" t="inlineStr">
        <is>
          <t>score 0 &lt; 30</t>
        </is>
      </c>
    </row>
    <row r="337">
      <c r="A337" s="11" t="inlineStr">
        <is>
          <t>898-181-LP26</t>
        </is>
      </c>
      <c r="B337" s="13" t="inlineStr">
        <is>
          <t>Servicios de Laboratorio Dental con Equipo en Comodato</t>
        </is>
      </c>
      <c r="C337" s="11" t="n">
        <v>0</v>
      </c>
      <c r="D337" s="13" t="inlineStr">
        <is>
          <t>score 0 &lt; 30</t>
        </is>
      </c>
    </row>
    <row r="338">
      <c r="A338" s="11" t="inlineStr">
        <is>
          <t>899-39-LE26</t>
        </is>
      </c>
      <c r="B338" s="13" t="inlineStr">
        <is>
          <t>“Servicio de Mantención Preventiva y Correctiva de PEAS y Limpieza de Estanque de Aguas Servidas para Hospital San José de Casablanca</t>
        </is>
      </c>
      <c r="C338" s="11" t="n">
        <v>5</v>
      </c>
      <c r="D338" s="13" t="inlineStr">
        <is>
          <t>solo mencion de inmueble, sin servicio inmobiliario</t>
        </is>
      </c>
    </row>
    <row r="339">
      <c r="A339" s="11" t="inlineStr">
        <is>
          <t>900-45-LP26</t>
        </is>
      </c>
      <c r="B339" s="13" t="inlineStr">
        <is>
          <t xml:space="preserve">Servicio de Habilitación sala UHCIP </t>
        </is>
      </c>
      <c r="C339" s="11" t="n">
        <v>6</v>
      </c>
      <c r="D339" s="13" t="inlineStr">
        <is>
          <t>score 6 &lt; 30</t>
        </is>
      </c>
    </row>
    <row r="340">
      <c r="A340" s="11" t="inlineStr">
        <is>
          <t>900-60-L126</t>
        </is>
      </c>
      <c r="B340" s="13" t="inlineStr">
        <is>
          <t>HDS - COMPRA DE BOLSAS PLASTICAS PARA BODEGA</t>
        </is>
      </c>
      <c r="C340" s="11" t="n">
        <v>7</v>
      </c>
      <c r="D340" s="13" t="inlineStr">
        <is>
          <t>solo mencion de inmueble, sin servicio inmobiliario</t>
        </is>
      </c>
    </row>
    <row r="341">
      <c r="A341" s="11" t="inlineStr">
        <is>
          <t>924-27-LP26</t>
        </is>
      </c>
      <c r="B341" s="13" t="inlineStr">
        <is>
          <t>Servicio de bodegaje para la Seremi de Salud R.M.</t>
        </is>
      </c>
      <c r="C341" s="11" t="n">
        <v>13</v>
      </c>
      <c r="D341" s="13" t="inlineStr">
        <is>
          <t>score 13 &lt; 30</t>
        </is>
      </c>
    </row>
    <row r="342">
      <c r="A342" s="11" t="inlineStr">
        <is>
          <t>928-27-LR26</t>
        </is>
      </c>
      <c r="B342" s="13" t="inlineStr">
        <is>
          <t>SERVICIO DE ARRENDAMIENTO DE PERIMETROS FREESTANDING</t>
        </is>
      </c>
      <c r="C342" s="11" t="n">
        <v>0</v>
      </c>
      <c r="D342" s="13" t="inlineStr">
        <is>
          <t>score 0 &lt; 30</t>
        </is>
      </c>
    </row>
    <row r="343">
      <c r="A343" s="11" t="inlineStr">
        <is>
          <t>930-23-LE26</t>
        </is>
      </c>
      <c r="B343" s="13" t="inlineStr">
        <is>
          <t>MANTENCIÓN GENERAL RECINTOS DEPORTIVOS IND AFTA.</t>
        </is>
      </c>
      <c r="C343" s="11" t="n">
        <v>5</v>
      </c>
      <c r="D343" s="13" t="inlineStr">
        <is>
          <t>solo mencion de inmueble, sin servicio inmobiliario</t>
        </is>
      </c>
    </row>
    <row r="344">
      <c r="A344" s="11" t="inlineStr">
        <is>
          <t>937232-85-LE26</t>
        </is>
      </c>
      <c r="B344" s="13" t="inlineStr">
        <is>
          <t>SERVICIO DE ARRIENDO DE CAMILLAS DE TRANSPORTE HIDRAULICAS POR 24 MESES</t>
        </is>
      </c>
      <c r="C344" s="11" t="n">
        <v>0</v>
      </c>
      <c r="D344" s="13" t="inlineStr">
        <is>
          <t>score 0 &lt; 30</t>
        </is>
      </c>
    </row>
    <row r="345">
      <c r="A345" s="11" t="inlineStr">
        <is>
          <t>948354-135-LP26</t>
        </is>
      </c>
      <c r="B345" s="13" t="inlineStr">
        <is>
          <t>CONTRATACIÓN DEL SERVICIO DE ARRIENDO DE UNA CABINA SANITARIA CON EQUIPO MAMÓGRAFO PARA USO DE MAMOGRAFÍA DIGITALIZADA PORTÁTIL PARA EL HOSPITAL DIPRECA</t>
        </is>
      </c>
      <c r="C345" s="11" t="n">
        <v>0</v>
      </c>
      <c r="D345" s="13" t="inlineStr">
        <is>
          <t>score 0 &lt; 30</t>
        </is>
      </c>
    </row>
    <row r="346">
      <c r="A346" s="11" t="inlineStr">
        <is>
          <t>948806-117-LP26</t>
        </is>
      </c>
      <c r="B346" s="13" t="inlineStr">
        <is>
          <t>Adquisición de Catéteres para Electrofisiología con Equipo en Comodato en Modalidad de Consignación</t>
        </is>
      </c>
      <c r="C346" s="11" t="n">
        <v>0</v>
      </c>
      <c r="D346" s="13" t="inlineStr">
        <is>
          <t>score 0 &lt; 30</t>
        </is>
      </c>
    </row>
    <row r="347">
      <c r="A347" s="11" t="inlineStr">
        <is>
          <t>963423-10-LE26</t>
        </is>
      </c>
      <c r="B347" s="13" t="inlineStr">
        <is>
          <t>serv. reparacion conservacion y pintura inmueble</t>
        </is>
      </c>
      <c r="C347" s="11" t="n">
        <v>14</v>
      </c>
      <c r="D347" s="13" t="inlineStr">
        <is>
          <t>solo mencion de inmueble, sin servicio inmobiliario</t>
        </is>
      </c>
    </row>
    <row r="348">
      <c r="A348" s="11" t="inlineStr">
        <is>
          <t>975-12-O126</t>
        </is>
      </c>
      <c r="B348" s="13" t="inlineStr">
        <is>
          <t>Plan Maestro de Evacuación y Drenaje de Aguas Lluvias de Buin y Paine, RM.</t>
        </is>
      </c>
      <c r="C348" s="11" t="n">
        <v>16</v>
      </c>
      <c r="D348" s="13" t="inlineStr">
        <is>
          <t>score 16 &lt; 30</t>
        </is>
      </c>
    </row>
    <row r="349">
      <c r="A349" s="11" t="inlineStr">
        <is>
          <t>986278-21-LE26</t>
        </is>
      </c>
      <c r="B349" s="13" t="inlineStr">
        <is>
          <t>EQUIPAMIENTO FUNGIBLES Y OTROS PARA ESCUELA INDUSTRIA Y ENERGÍAS PARA CASA CENTRAL LAUTARO Y SEDE ANGOL DEL CFT REGIÓN DE LA ARAUCANIA</t>
        </is>
      </c>
      <c r="C349" s="11" t="n">
        <v>8</v>
      </c>
      <c r="D349" s="13" t="inlineStr">
        <is>
          <t>solo mencion de inmueble, sin servicio inmobiliario</t>
        </is>
      </c>
    </row>
    <row r="350">
      <c r="A350" s="11" t="inlineStr">
        <is>
          <t>993-48-LP26</t>
        </is>
      </c>
      <c r="B350" s="13" t="inlineStr">
        <is>
          <t>Servicio de arriendo de 800 horas máquina de 2 excavadoras para la construcción de zanja sector Vallecito Provincia de El Loa Región de Antofagasta.</t>
        </is>
      </c>
      <c r="C350" s="11" t="n">
        <v>0</v>
      </c>
      <c r="D350" s="13" t="inlineStr">
        <is>
          <t>score 0 &lt; 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2026-09-18T19:14:23Z</dcterms:created>
  <dcterms:modified xsi:type="dcterms:W3CDTF">2026-09-18T19:14:23Z</dcterms:modified>
</cp:coreProperties>
</file>