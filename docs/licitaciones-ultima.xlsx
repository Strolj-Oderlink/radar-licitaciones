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403-71-L126" TargetMode="External" Id="rId1" /><Relationship Type="http://schemas.openxmlformats.org/officeDocument/2006/relationships/hyperlink" Target="https://www.mercadopublico.cl/Procurement/Modules/RFB/DetailsAcquisition.aspx?idlicitacion=4295-54-LR26" TargetMode="External" Id="rId2" /><Relationship Type="http://schemas.openxmlformats.org/officeDocument/2006/relationships/hyperlink" Target="https://www.mercadopublico.cl/Procurement/Modules/RFB/DetailsAcquisition.aspx?idlicitacion=5358-9-LR26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675-117-L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2026-09-30 21:03 · UF 41,057.20 · 4,322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COUNTA(Matches!P2:P4)</f>
        <v/>
      </c>
    </row>
    <row r="6">
      <c r="A6" s="4" t="inlineStr">
        <is>
          <t>NUEVAS esta corrida</t>
        </is>
      </c>
      <c r="B6" s="5">
        <f>COUNTIF(Matches!A2:A4,"SI")</f>
        <v/>
      </c>
    </row>
    <row r="7">
      <c r="A7" s="4" t="inlineStr">
        <is>
          <t>Con cambios</t>
        </is>
      </c>
      <c r="B7" s="5">
        <f>COUNTIF(Matches!B2:B4,"CAMBIO*")</f>
        <v/>
      </c>
    </row>
    <row r="8">
      <c r="A8" s="4" t="inlineStr">
        <is>
          <t>Prioridad ALTA</t>
        </is>
      </c>
      <c r="B8" s="5">
        <f>COUNTIF(Matches!C2:C4,"ALTA")</f>
        <v/>
      </c>
    </row>
    <row r="9">
      <c r="A9" s="4" t="inlineStr">
        <is>
          <t>Mandatos de servicio</t>
        </is>
      </c>
      <c r="B9" s="5">
        <f>COUNTIF(Matches!E2:E4,"Mandato de SERVICIO")</f>
        <v/>
      </c>
    </row>
    <row r="10">
      <c r="A10" s="4" t="inlineStr">
        <is>
          <t>Estado busca inmueble</t>
        </is>
      </c>
      <c r="B10" s="5">
        <f>COUNTIF(Matches!E2:E4,"Estado BUSCA inmueble")</f>
        <v/>
      </c>
    </row>
    <row r="11">
      <c r="A11" s="4" t="inlineStr">
        <is>
          <t>Estado ofrece inmueble</t>
        </is>
      </c>
      <c r="B11" s="5">
        <f>COUNTIF(Matches!E2:E4,"Estado OFRECE inmueble")</f>
        <v/>
      </c>
    </row>
    <row r="12">
      <c r="A12" s="4" t="inlineStr">
        <is>
          <t>Sugeridas a Gamma</t>
        </is>
      </c>
      <c r="B12" s="5">
        <f>COUNTIF(Matches!G2:G4,"Gamma")</f>
        <v/>
      </c>
    </row>
    <row r="13">
      <c r="A13" s="4" t="inlineStr">
        <is>
          <t>Sugeridas a Realsa Brokers</t>
        </is>
      </c>
      <c r="B13" s="5">
        <f>COUNTIF(Matches!G2:G4,"Realsa Brokers")</f>
        <v/>
      </c>
    </row>
    <row r="14">
      <c r="A14" s="4" t="inlineStr">
        <is>
          <t>Cierran en &lt;= 7 dias</t>
        </is>
      </c>
      <c r="B14" s="5">
        <f>COUNTIFS(Matches!N2:N4,"&lt;=7",Matches!N2:N4,"&gt;=0")</f>
        <v/>
      </c>
    </row>
    <row r="15">
      <c r="A15" s="4" t="inlineStr">
        <is>
          <t>Monto UF agregado (publicado)</t>
        </is>
      </c>
      <c r="B15" s="5">
        <f>SUM(Matches!M2:M4)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80</v>
      </c>
      <c r="E2" s="11" t="inlineStr">
        <is>
          <t>Mandato de SERVICIO</t>
        </is>
      </c>
      <c r="F2" s="13" t="inlineStr">
        <is>
          <t>Contratan un servicio profesional inmobiliario: postulacion directa como oferente. Verificar requisitos de experiencia y garantia de seriedad.</t>
        </is>
      </c>
      <c r="G2" s="11" t="inlineStr">
        <is>
          <t>Gamma</t>
        </is>
      </c>
      <c r="H2" s="13" t="inlineStr">
        <is>
          <t>Servicio de tasación de bienes raíces municipales.</t>
        </is>
      </c>
      <c r="I2" s="13" t="inlineStr">
        <is>
          <t>I MUNICIPALIDAD DE PENALOLEN</t>
        </is>
      </c>
      <c r="J2" s="11" t="inlineStr">
        <is>
          <t>Región Metropolitana de Santiago</t>
        </is>
      </c>
      <c r="K2" s="11" t="inlineStr">
        <is>
          <t>L1</t>
        </is>
      </c>
      <c r="L2" s="11" t="inlineStr">
        <is>
          <t>no publicado</t>
        </is>
      </c>
      <c r="M2" s="11" t="n"/>
      <c r="N2" s="11" t="n">
        <v>6</v>
      </c>
      <c r="O2" s="11" t="inlineStr">
        <is>
          <t>2026-10-02 15:30</t>
        </is>
      </c>
      <c r="P2" s="11" t="inlineStr">
        <is>
          <t>2403-71-L126</t>
        </is>
      </c>
      <c r="Q2" s="13" t="inlineStr">
        <is>
          <t>nucleo/titulo: tasacion (+24) | objeto/titulo: bienes raices (+16) | UNSPSC 80131800 (+40)</t>
        </is>
      </c>
      <c r="R2" s="13" t="inlineStr">
        <is>
          <t>exige/pondera experiencia acreditable o es licitacion mayor</t>
        </is>
      </c>
      <c r="S2" s="13" t="inlineStr">
        <is>
          <t>La Municipalidad de Peñalolén requiere contratar el servicio de tasación de  terrenos municipales a través de profesionales calificados del rubro, con  experiencia en la materia de avalúos en bienes raíces terrenos, con el objeto de determinar su valor estimado en el mercado actual.</t>
        </is>
      </c>
      <c r="T2" s="11" t="inlineStr">
        <is>
          <t>Aníbal Acevedo</t>
        </is>
      </c>
      <c r="U2" s="11" t="inlineStr"/>
      <c r="V2" s="14" t="inlineStr">
        <is>
          <t>Ver ficha</t>
        </is>
      </c>
    </row>
    <row r="3" ht="46" customHeight="1">
      <c r="A3" s="10" t="inlineStr">
        <is>
          <t>NO</t>
        </is>
      </c>
      <c r="B3" s="11" t="inlineStr">
        <is>
          <t>VIGENTE</t>
        </is>
      </c>
      <c r="C3" s="12" t="inlineStr">
        <is>
          <t>ALTA</t>
        </is>
      </c>
      <c r="D3" s="11" t="n">
        <v>55</v>
      </c>
      <c r="E3" s="11" t="inlineStr">
        <is>
          <t>Estado OFRECE inmueble</t>
        </is>
      </c>
      <c r="F3" s="13" t="inlineStr">
        <is>
          <t>El organismo vende o concesiona un activo: oportunidad de representar comprador/operador o de asesorar el proceso. Revisar bases y valor minimo.</t>
        </is>
      </c>
      <c r="G3" s="11" t="inlineStr">
        <is>
          <t>Gamma</t>
        </is>
      </c>
      <c r="H3" s="13" t="inlineStr">
        <is>
          <t>VENTA DE TERRENOS DE PROPIEDAD MUNICIPAL LA SERENA</t>
        </is>
      </c>
      <c r="I3" s="13" t="inlineStr">
        <is>
          <t>ILUSTRE MUNICIPALIDAD DE LA SERENA</t>
        </is>
      </c>
      <c r="J3" s="11" t="inlineStr">
        <is>
          <t>Región de Coquimbo</t>
        </is>
      </c>
      <c r="K3" s="11" t="inlineStr">
        <is>
          <t>LR</t>
        </is>
      </c>
      <c r="L3" s="11" t="inlineStr">
        <is>
          <t>no publicado</t>
        </is>
      </c>
      <c r="M3" s="11" t="n"/>
      <c r="N3" s="11" t="n">
        <v>51</v>
      </c>
      <c r="O3" s="11" t="inlineStr">
        <is>
          <t>2026-10-14 15:00</t>
        </is>
      </c>
      <c r="P3" s="11" t="inlineStr">
        <is>
          <t>4295-54-LR26</t>
        </is>
      </c>
      <c r="Q3" s="13" t="inlineStr">
        <is>
          <t>objeto/titulo: terreno (+9) | transaccion: venta (+6) | UNSPSC 80131600 (+40)</t>
        </is>
      </c>
      <c r="R3" s="13" t="inlineStr">
        <is>
          <t>exige/pondera experiencia acreditable o es licitacion mayor</t>
        </is>
      </c>
      <c r="S3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3" s="11" t="inlineStr">
        <is>
          <t>Dirección de Administración y Finanzas</t>
        </is>
      </c>
      <c r="U3" s="11" t="inlineStr"/>
      <c r="V3" s="14" t="inlineStr">
        <is>
          <t>Ver ficha</t>
        </is>
      </c>
    </row>
    <row r="4" ht="46" customHeight="1">
      <c r="A4" s="15" t="inlineStr">
        <is>
          <t>NO</t>
        </is>
      </c>
      <c r="B4" s="16" t="inlineStr">
        <is>
          <t>CAMBIO: monto UF 121879.0-&gt;121781.0</t>
        </is>
      </c>
      <c r="C4" s="17" t="inlineStr">
        <is>
          <t>MEDIA</t>
        </is>
      </c>
      <c r="D4" s="18" t="n">
        <v>49</v>
      </c>
      <c r="E4" s="18" t="inlineStr">
        <is>
          <t>Estado OFRECE inmueble</t>
        </is>
      </c>
      <c r="F4" s="19" t="inlineStr">
        <is>
          <t>El organismo vende o concesiona un activo: oportunidad de representar comprador/operador o de asesorar el proceso. Revisar bases y valor minimo.</t>
        </is>
      </c>
      <c r="G4" s="18" t="inlineStr">
        <is>
          <t>Gamma</t>
        </is>
      </c>
      <c r="H4" s="19" t="inlineStr">
        <is>
          <t>ADQUISICIÓN DE TERRENO PARA PROYECTO EDUCACIONAL U</t>
        </is>
      </c>
      <c r="I4" s="19" t="inlineStr">
        <is>
          <t>UNIVERSIDAD DE TARAPACA</t>
        </is>
      </c>
      <c r="J4" s="18" t="inlineStr">
        <is>
          <t>Región de Tarapacá</t>
        </is>
      </c>
      <c r="K4" s="18" t="inlineStr">
        <is>
          <t>LR</t>
        </is>
      </c>
      <c r="L4" s="18" t="inlineStr">
        <is>
          <t>CLP 5,000,000,000</t>
        </is>
      </c>
      <c r="M4" s="20" t="n">
        <v>121781</v>
      </c>
      <c r="N4" s="18" t="n">
        <v>53</v>
      </c>
      <c r="O4" s="18" t="inlineStr">
        <is>
          <t>2026-10-16 15:01</t>
        </is>
      </c>
      <c r="P4" s="18" t="inlineStr">
        <is>
          <t>5358-9-LR26</t>
        </is>
      </c>
      <c r="Q4" s="19" t="inlineStr">
        <is>
          <t>objeto/titulo: terreno (+9) | UNSPSC 80131600 (+40)</t>
        </is>
      </c>
      <c r="R4" s="19" t="inlineStr">
        <is>
          <t>exige/pondera experiencia acreditable o es licitacion mayor</t>
        </is>
      </c>
      <c r="S4" s="19" t="inlineStr">
        <is>
          <t>Lo indicado en Bases de la Licitación, aprobadas mediante Decreto N°21/2026 Adjunto.</t>
        </is>
      </c>
      <c r="T4" s="18" t="inlineStr">
        <is>
          <t>Jorge Bernal Peralta</t>
        </is>
      </c>
      <c r="U4" s="18" t="inlineStr"/>
      <c r="V4" s="21" t="inlineStr">
        <is>
          <t>Ver ficha</t>
        </is>
      </c>
    </row>
  </sheetData>
  <autoFilter ref="A1:V4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2403-71-L126</t>
        </is>
      </c>
      <c r="B2" s="13" t="inlineStr">
        <is>
          <t>Servicio de tasación de bienes raíces municipales.</t>
        </is>
      </c>
      <c r="C2" s="11" t="inlineStr">
        <is>
          <t>Gamma</t>
        </is>
      </c>
      <c r="D2" s="11" t="n">
        <v>80</v>
      </c>
      <c r="E2" s="11" t="inlineStr">
        <is>
          <t>Publicada</t>
        </is>
      </c>
      <c r="F2" s="11" t="inlineStr">
        <is>
          <t>2026-10-02 15:30</t>
        </is>
      </c>
      <c r="G2" s="11" t="n"/>
      <c r="H2" s="11" t="inlineStr">
        <is>
          <t>2026-09-26</t>
        </is>
      </c>
      <c r="I2" s="11" t="inlineStr">
        <is>
          <t>2026-09-30</t>
        </is>
      </c>
      <c r="J2" s="11" t="n">
        <v>1</v>
      </c>
    </row>
    <row r="3">
      <c r="A3" s="11" t="inlineStr">
        <is>
          <t>3994-21-L126</t>
        </is>
      </c>
      <c r="B3" s="13" t="inlineStr">
        <is>
          <t>SERVICIO DE TASACION COMERCIAL DE INMUEBLE</t>
        </is>
      </c>
      <c r="C3" s="11" t="inlineStr">
        <is>
          <t>Realsa Brokers</t>
        </is>
      </c>
      <c r="D3" s="11" t="n">
        <v>78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6</v>
      </c>
    </row>
    <row r="4">
      <c r="A4" s="11" t="inlineStr">
        <is>
          <t>2760-98-LE26</t>
        </is>
      </c>
      <c r="B4" s="13" t="inlineStr">
        <is>
          <t>ARRIENDO DE INMUEBLE PARA BODEGA Y ARCHIVOS INMEDIATOS DE DISTINTAS DIRECCIONES MUNICIPALES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2026-08-26 15:00</t>
        </is>
      </c>
      <c r="G4" s="11" t="n"/>
      <c r="H4" s="11" t="inlineStr">
        <is>
          <t>2026-08-25</t>
        </is>
      </c>
      <c r="I4" s="11" t="inlineStr">
        <is>
          <t>2026-08-25</t>
        </is>
      </c>
      <c r="J4" s="11" t="n">
        <v>6</v>
      </c>
    </row>
    <row r="5">
      <c r="A5" s="11" t="inlineStr">
        <is>
          <t>1743-64-LE26</t>
        </is>
      </c>
      <c r="B5" s="13" t="inlineStr">
        <is>
          <t>SERVICIO DE ARRIENDO INMUEBLES PARA OFICINAS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6</v>
      </c>
    </row>
    <row r="6">
      <c r="A6" s="11" t="inlineStr">
        <is>
          <t>2495-16-CO26</t>
        </is>
      </c>
      <c r="B6" s="13" t="inlineStr">
        <is>
          <t>ARRIENDO DE INMUEBLE PARA OFICINA Y RESIDENCIA</t>
        </is>
      </c>
      <c r="C6" s="11" t="inlineStr">
        <is>
          <t>Realsa Brokers</t>
        </is>
      </c>
      <c r="D6" s="11" t="n">
        <v>66</v>
      </c>
      <c r="E6" s="11" t="inlineStr">
        <is>
          <t>Publicada</t>
        </is>
      </c>
      <c r="F6" s="11" t="inlineStr">
        <is>
          <t>2026-08-31 16:00</t>
        </is>
      </c>
      <c r="G6" s="11" t="n"/>
      <c r="H6" s="11" t="inlineStr">
        <is>
          <t>2026-08-25</t>
        </is>
      </c>
      <c r="I6" s="11" t="inlineStr">
        <is>
          <t>2026-08-29</t>
        </is>
      </c>
      <c r="J6" s="11" t="n">
        <v>6</v>
      </c>
    </row>
    <row r="7">
      <c r="A7" s="11" t="inlineStr">
        <is>
          <t>2359-13-LP26</t>
        </is>
      </c>
      <c r="B7" s="13" t="inlineStr">
        <is>
          <t>ARRIENDO DE INMUEBLES 2026-2028</t>
        </is>
      </c>
      <c r="C7" s="11" t="inlineStr">
        <is>
          <t>Gamma</t>
        </is>
      </c>
      <c r="D7" s="11" t="n">
        <v>66</v>
      </c>
      <c r="E7" s="11" t="inlineStr">
        <is>
          <t>Publicada</t>
        </is>
      </c>
      <c r="F7" s="11" t="inlineStr">
        <is>
          <t>2026-09-08 15:30</t>
        </is>
      </c>
      <c r="G7" s="11" t="n"/>
      <c r="H7" s="11" t="inlineStr">
        <is>
          <t>2026-08-25</t>
        </is>
      </c>
      <c r="I7" s="11" t="inlineStr">
        <is>
          <t>2026-09-06</t>
        </is>
      </c>
      <c r="J7" s="11" t="n">
        <v>6</v>
      </c>
    </row>
    <row r="8">
      <c r="A8" s="11" t="inlineStr">
        <is>
          <t>2713-157-LP26</t>
        </is>
      </c>
      <c r="B8" s="13" t="inlineStr">
        <is>
          <t>Servicio de arriendo - Folio 852 - DIDECO</t>
        </is>
      </c>
      <c r="C8" s="11" t="inlineStr">
        <is>
          <t>Gamma</t>
        </is>
      </c>
      <c r="D8" s="11" t="n">
        <v>59</v>
      </c>
      <c r="E8" s="11" t="inlineStr">
        <is>
          <t>Publicada</t>
        </is>
      </c>
      <c r="F8" s="11" t="inlineStr">
        <is>
          <t>2026-09-02 09:30</t>
        </is>
      </c>
      <c r="G8" s="11" t="n">
        <v>3523</v>
      </c>
      <c r="H8" s="11" t="inlineStr">
        <is>
          <t>2026-08-25</t>
        </is>
      </c>
      <c r="I8" s="11" t="inlineStr">
        <is>
          <t>2026-08-29</t>
        </is>
      </c>
      <c r="J8" s="11" t="n">
        <v>6</v>
      </c>
    </row>
    <row r="9">
      <c r="A9" s="11" t="inlineStr">
        <is>
          <t>552578-38-L126</t>
        </is>
      </c>
      <c r="B9" s="13" t="inlineStr">
        <is>
          <t>CONCESIÓN DE LOCALES COMERCIALES PASEO SAN RAFAEL</t>
        </is>
      </c>
      <c r="C9" s="11" t="inlineStr">
        <is>
          <t>Realsa Brokers</t>
        </is>
      </c>
      <c r="D9" s="11" t="n">
        <v>56</v>
      </c>
      <c r="E9" s="11" t="inlineStr">
        <is>
          <t>Publicada</t>
        </is>
      </c>
      <c r="F9" s="11" t="inlineStr">
        <is>
          <t>2026-08-27 18:00</t>
        </is>
      </c>
      <c r="G9" s="11" t="n"/>
      <c r="H9" s="11" t="inlineStr">
        <is>
          <t>2026-08-25</t>
        </is>
      </c>
      <c r="I9" s="11" t="inlineStr">
        <is>
          <t>2026-08-25</t>
        </is>
      </c>
      <c r="J9" s="11" t="n">
        <v>6</v>
      </c>
    </row>
    <row r="10">
      <c r="A10" s="11" t="inlineStr">
        <is>
          <t>4295-54-LR26</t>
        </is>
      </c>
      <c r="B10" s="13" t="inlineStr">
        <is>
          <t>VENTA DE TERRENOS DE PROPIEDAD MUNICIPAL LA SERENA</t>
        </is>
      </c>
      <c r="C10" s="11" t="inlineStr">
        <is>
          <t>Gamma</t>
        </is>
      </c>
      <c r="D10" s="11" t="n">
        <v>55</v>
      </c>
      <c r="E10" s="11" t="inlineStr">
        <is>
          <t>Publicada</t>
        </is>
      </c>
      <c r="F10" s="11" t="inlineStr">
        <is>
          <t>2026-10-14 15:00</t>
        </is>
      </c>
      <c r="G10" s="11" t="n"/>
      <c r="H10" s="11" t="inlineStr">
        <is>
          <t>2026-08-25</t>
        </is>
      </c>
      <c r="I10" s="11" t="inlineStr">
        <is>
          <t>2026-09-30</t>
        </is>
      </c>
      <c r="J10" s="11" t="n">
        <v>6</v>
      </c>
    </row>
    <row r="11">
      <c r="A11" s="11" t="inlineStr">
        <is>
          <t>5358-9-LR26</t>
        </is>
      </c>
      <c r="B11" s="13" t="inlineStr">
        <is>
          <t>ADQUISICIÓN DE TERRENO PARA PROYECTO EDUCACIONAL U</t>
        </is>
      </c>
      <c r="C11" s="11" t="inlineStr">
        <is>
          <t>Gamma</t>
        </is>
      </c>
      <c r="D11" s="11" t="n">
        <v>49</v>
      </c>
      <c r="E11" s="11" t="inlineStr">
        <is>
          <t>Publicada</t>
        </is>
      </c>
      <c r="F11" s="11" t="inlineStr">
        <is>
          <t>2026-10-16 15:01</t>
        </is>
      </c>
      <c r="G11" s="11" t="n">
        <v>121781</v>
      </c>
      <c r="H11" s="11" t="inlineStr">
        <is>
          <t>2026-08-25</t>
        </is>
      </c>
      <c r="I11" s="11" t="inlineStr">
        <is>
          <t>2026-09-30</t>
        </is>
      </c>
      <c r="J11" s="11" t="n">
        <v>6</v>
      </c>
    </row>
    <row r="12">
      <c r="A12" s="11" t="inlineStr">
        <is>
          <t>1063538-206-I226</t>
        </is>
      </c>
      <c r="B12" s="13" t="inlineStr">
        <is>
          <t>“ARRIENDO DE CELDAS DE MEDIA TENSION MT”</t>
        </is>
      </c>
      <c r="C12" s="11" t="inlineStr">
        <is>
          <t>Realsa Brokers</t>
        </is>
      </c>
      <c r="D12" s="11" t="n">
        <v>40</v>
      </c>
      <c r="E12" s="11" t="inlineStr">
        <is>
          <t>Publicada</t>
        </is>
      </c>
      <c r="F12" s="11" t="inlineStr">
        <is>
          <t>2026-09-28 17:00</t>
        </is>
      </c>
      <c r="G12" s="11" t="n"/>
      <c r="H12" s="11" t="inlineStr">
        <is>
          <t>2026-08-29</t>
        </is>
      </c>
      <c r="I12" s="11" t="inlineStr">
        <is>
          <t>2026-09-26</t>
        </is>
      </c>
      <c r="J12" s="11" t="n">
        <v>5</v>
      </c>
    </row>
    <row r="13">
      <c r="A13" s="11" t="inlineStr">
        <is>
          <t>867990-62-LE26</t>
        </is>
      </c>
      <c r="B13" s="13" t="inlineStr">
        <is>
          <t>CDP 91352 - CC 102 — TASACIÓN DE BIENES INMUEBLES</t>
        </is>
      </c>
      <c r="C13" s="11" t="inlineStr">
        <is>
          <t>Realsa Brokers</t>
        </is>
      </c>
      <c r="D13" s="11" t="n">
        <v>38</v>
      </c>
      <c r="E13" s="11" t="inlineStr">
        <is>
          <t>Publicada</t>
        </is>
      </c>
      <c r="F13" s="11" t="inlineStr">
        <is>
          <t>2026-08-31 15:00</t>
        </is>
      </c>
      <c r="G13" s="11" t="n">
        <v>1101</v>
      </c>
      <c r="H13" s="11" t="inlineStr">
        <is>
          <t>2026-08-25</t>
        </is>
      </c>
      <c r="I13" s="11" t="inlineStr">
        <is>
          <t>2026-08-29</t>
        </is>
      </c>
      <c r="J13" s="11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78</v>
      </c>
      <c r="B2" s="13" t="inlineStr">
        <is>
          <t>SERVICIO DE TASACION INMUEBLES COMUNA MOSTAZAL</t>
        </is>
      </c>
      <c r="C2" s="13" t="inlineStr">
        <is>
          <t>I MUNICIPALIDAD DE MOSTAZAL</t>
        </is>
      </c>
      <c r="D2" s="11" t="inlineStr">
        <is>
          <t>Región del Libertador General Bernardo O´Higgins</t>
        </is>
      </c>
      <c r="E2" s="11" t="inlineStr">
        <is>
          <t>L1</t>
        </is>
      </c>
      <c r="F2" s="11" t="inlineStr">
        <is>
          <t>CLP 4,000,000</t>
        </is>
      </c>
      <c r="G2" s="11" t="n">
        <v>97</v>
      </c>
      <c r="H2" s="11" t="inlineStr">
        <is>
          <t>&lt; 100 UTM (~&lt; UF 170)</t>
        </is>
      </c>
      <c r="I2" s="11" t="inlineStr">
        <is>
          <t>2026-10-06 11:30</t>
        </is>
      </c>
      <c r="J2" s="13" t="inlineStr">
        <is>
          <t>bajo umbral de monto (Nacional, UF 97 (umbral UF 2.000))</t>
        </is>
      </c>
      <c r="K2" s="11" t="inlineStr">
        <is>
          <t>2675-117-L126</t>
        </is>
      </c>
      <c r="L2" s="14" t="inlineStr">
        <is>
          <t>Ver ficha</t>
        </is>
      </c>
    </row>
    <row r="4">
      <c r="A4" s="22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1002584-10-LE26</t>
        </is>
      </c>
      <c r="B2" s="13" t="inlineStr">
        <is>
          <t>SERVICIO ARRIENDO SISTEMA DE CONCILIACIÓN BANCARIA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1027-15-LP26</t>
        </is>
      </c>
      <c r="B3" s="13" t="inlineStr">
        <is>
          <t>Servicio de Mantención Reparación y Habilitación de Campamentos Móviles Talleres y Bodegas de la Administración Directa en la Provincia de Huasco Región de Atacama.</t>
        </is>
      </c>
      <c r="C3" s="11" t="n">
        <v>13</v>
      </c>
      <c r="D3" s="13" t="inlineStr">
        <is>
          <t>score 13 &lt; 30</t>
        </is>
      </c>
    </row>
    <row r="4">
      <c r="A4" s="11" t="inlineStr">
        <is>
          <t>1035685-19-LE26</t>
        </is>
      </c>
      <c r="B4" s="13" t="inlineStr">
        <is>
          <t>Ampliación de Espacio Académico Sede Panguipulli</t>
        </is>
      </c>
      <c r="C4" s="11" t="n">
        <v>8</v>
      </c>
      <c r="D4" s="13" t="inlineStr">
        <is>
          <t>solo mencion de inmueble, sin servicio inmobiliario</t>
        </is>
      </c>
    </row>
    <row r="5">
      <c r="A5" s="11" t="inlineStr">
        <is>
          <t>1039-7-LR26</t>
        </is>
      </c>
      <c r="B5" s="13" t="inlineStr">
        <is>
          <t>SERVICIO  DE ARRIENDO DE EQUIPO MECANIZADO</t>
        </is>
      </c>
      <c r="C5" s="11" t="n">
        <v>17</v>
      </c>
      <c r="D5" s="13" t="inlineStr">
        <is>
          <t>score 17 &lt; 30</t>
        </is>
      </c>
    </row>
    <row r="6">
      <c r="A6" s="11" t="inlineStr">
        <is>
          <t>1052836-7-CO26</t>
        </is>
      </c>
      <c r="B6" s="13" t="inlineStr">
        <is>
          <t>SERV REHABILITACION PUENTE EL DURAZNO SAN FABIAN</t>
        </is>
      </c>
      <c r="C6" s="11" t="n">
        <v>0</v>
      </c>
      <c r="D6" s="13" t="inlineStr">
        <is>
          <t>score 0 &lt; 30</t>
        </is>
      </c>
    </row>
    <row r="7">
      <c r="A7" s="11" t="inlineStr">
        <is>
          <t>1057049-328-LR26</t>
        </is>
      </c>
      <c r="B7" s="13" t="inlineStr">
        <is>
          <t>SHV SUMINISTRO DE REACTIVOS DE AUTOINMUNIDAD CON EQUIPOS EN COMODATO LABORATORIO CENTRAL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1057384-143-LE26</t>
        </is>
      </c>
      <c r="B8" s="13" t="inlineStr">
        <is>
          <t>Equipo en Comodato Convenio de suministro reactiv</t>
        </is>
      </c>
      <c r="C8" s="11" t="n">
        <v>0</v>
      </c>
      <c r="D8" s="13" t="inlineStr">
        <is>
          <t>score 0 &lt; 30</t>
        </is>
      </c>
    </row>
    <row r="9">
      <c r="A9" s="11" t="inlineStr">
        <is>
          <t>1057402-174-LP26</t>
        </is>
      </c>
      <c r="B9" s="13" t="inlineStr">
        <is>
          <t>REHABILITACIÓN INTEGRAL PACIENTES DEL HCM</t>
        </is>
      </c>
      <c r="C9" s="11" t="n">
        <v>6</v>
      </c>
      <c r="D9" s="13" t="inlineStr">
        <is>
          <t>score 6 &lt; 30</t>
        </is>
      </c>
    </row>
    <row r="10">
      <c r="A10" s="11" t="inlineStr">
        <is>
          <t>1057402-178-LP26</t>
        </is>
      </c>
      <c r="B10" s="13" t="inlineStr">
        <is>
          <t>Contratación de Servicio de Traslado de Funcionarios del Hospital Clínico de Magallanes</t>
        </is>
      </c>
      <c r="C10" s="11" t="n">
        <v>0</v>
      </c>
      <c r="D10" s="13" t="inlineStr">
        <is>
          <t>score 0 &lt; 30</t>
        </is>
      </c>
    </row>
    <row r="11">
      <c r="A11" s="11" t="inlineStr">
        <is>
          <t>1057404-94-LE26</t>
        </is>
      </c>
      <c r="B11" s="13" t="inlineStr">
        <is>
          <t>MEJORAS DE EDIFICIO COSAM HOSPITAL ARAUCO</t>
        </is>
      </c>
      <c r="C11" s="11" t="n">
        <v>8</v>
      </c>
      <c r="D11" s="13" t="inlineStr">
        <is>
          <t>solo mencion de inmueble, sin servicio inmobiliario</t>
        </is>
      </c>
    </row>
    <row r="12">
      <c r="A12" s="11" t="inlineStr">
        <is>
          <t>1057415-57-LE26</t>
        </is>
      </c>
      <c r="B12" s="13" t="inlineStr">
        <is>
          <t>ARRIENDO DE INSTALACIONES MODULARES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1057439-116-LR26</t>
        </is>
      </c>
      <c r="B13" s="13" t="inlineStr">
        <is>
          <t>Kit Estudio de VPH Automatico con Equipo Comodato</t>
        </is>
      </c>
      <c r="C13" s="11" t="n">
        <v>0</v>
      </c>
      <c r="D13" s="13" t="inlineStr">
        <is>
          <t>score 0 &lt; 30</t>
        </is>
      </c>
    </row>
    <row r="14">
      <c r="A14" s="11" t="inlineStr">
        <is>
          <t>1057489-296-CO26</t>
        </is>
      </c>
      <c r="B14" s="13" t="inlineStr">
        <is>
          <t>Funcionamiento y Habilitación de nueva Bodega</t>
        </is>
      </c>
      <c r="C14" s="11" t="n">
        <v>13</v>
      </c>
      <c r="D14" s="13" t="inlineStr">
        <is>
          <t>score 13 &lt; 30</t>
        </is>
      </c>
    </row>
    <row r="15">
      <c r="A15" s="11" t="inlineStr">
        <is>
          <t>1057490-74-LE26</t>
        </is>
      </c>
      <c r="B15" s="13" t="inlineStr">
        <is>
          <t>Construcción Sobre Techo Dependencias INCA</t>
        </is>
      </c>
      <c r="C15" s="11" t="n">
        <v>8</v>
      </c>
      <c r="D15" s="13" t="inlineStr">
        <is>
          <t>solo mencion de inmueble, sin servicio inmobiliario</t>
        </is>
      </c>
    </row>
    <row r="16">
      <c r="A16" s="11" t="inlineStr">
        <is>
          <t>1057491-177-LP26</t>
        </is>
      </c>
      <c r="B16" s="13" t="inlineStr">
        <is>
          <t>ARRIENDO DE INSTRUMENTAL QUIRURGICO</t>
        </is>
      </c>
      <c r="C16" s="11" t="n">
        <v>0</v>
      </c>
      <c r="D16" s="13" t="inlineStr">
        <is>
          <t>score 0 &lt; 30</t>
        </is>
      </c>
    </row>
    <row r="17">
      <c r="A17" s="11" t="inlineStr">
        <is>
          <t>1057491-178-LP26</t>
        </is>
      </c>
      <c r="B17" s="13" t="inlineStr">
        <is>
          <t>EXAMENES POR CITOMETRIA DE FLUJO CON COMODATO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1057491-187-LP26</t>
        </is>
      </c>
      <c r="B18" s="13" t="inlineStr">
        <is>
          <t>SUMINISTRO DE EXAMENES DE LABORATORIO CON COMODATO</t>
        </is>
      </c>
      <c r="C18" s="11" t="n">
        <v>0</v>
      </c>
      <c r="D18" s="13" t="inlineStr">
        <is>
          <t>score 0 &lt; 30</t>
        </is>
      </c>
    </row>
    <row r="19">
      <c r="A19" s="11" t="inlineStr">
        <is>
          <t>1057492-128-LP26</t>
        </is>
      </c>
      <c r="B19" s="13" t="inlineStr">
        <is>
          <t>SERVICIO ARRIENDO DE LAVADORA TERMODESINFECTADORA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1057492-135-LP26</t>
        </is>
      </c>
      <c r="B20" s="13" t="inlineStr">
        <is>
          <t>SUM. REACTIVOS Y TIRAS DE ORINA CON EQUIPO EN COMODATO</t>
        </is>
      </c>
      <c r="C20" s="11" t="n">
        <v>0</v>
      </c>
      <c r="D20" s="13" t="inlineStr">
        <is>
          <t>score 0 &lt; 30</t>
        </is>
      </c>
    </row>
    <row r="21">
      <c r="A21" s="11" t="inlineStr">
        <is>
          <t>1057499-57-LP26</t>
        </is>
      </c>
      <c r="B21" s="13" t="inlineStr">
        <is>
          <t>ARRIENDO DE WORKSTATION PARA DEPTO IIOO Y DGI SSMS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1057501-395-LR26</t>
        </is>
      </c>
      <c r="B22" s="13" t="inlineStr">
        <is>
          <t xml:space="preserve">Convenio Inmunohematología Unidad de Medicina Transfusional con equipos en comodato por 24 meses 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1057501-557-LE26</t>
        </is>
      </c>
      <c r="B23" s="13" t="inlineStr">
        <is>
          <t>ARRIENDO DE MODULOS PARA UNIDADES ADMINISTRATIVAS</t>
        </is>
      </c>
      <c r="C23" s="11" t="n">
        <v>16</v>
      </c>
      <c r="D23" s="13" t="inlineStr">
        <is>
          <t>score 16 &lt; 30</t>
        </is>
      </c>
    </row>
    <row r="24">
      <c r="A24" s="11" t="inlineStr">
        <is>
          <t>1057501-606-LR26</t>
        </is>
      </c>
      <c r="B24" s="13" t="inlineStr">
        <is>
          <t>CONVENIO BAJADAS BOMBA DE INFUSION CON COMODATO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1057503-137-LR26</t>
        </is>
      </c>
      <c r="B25" s="13" t="inlineStr">
        <is>
          <t>Adquisición de Test Reportado de Orina Completa y Sedimentos Urinarios Automatizados con Equipamiento en Comodato para el Hospital Padre Alberto Hurtado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1057509-282-LP26</t>
        </is>
      </c>
      <c r="B26" s="13" t="inlineStr">
        <is>
          <t>CONVENIO COMPRA DE SERVICIOS DE APOYO PROFESIONAL TÉCNICO Y ADMINISTRATIVO PARA EL DEPARTAMENTO TIC</t>
        </is>
      </c>
      <c r="C26" s="11" t="n">
        <v>5</v>
      </c>
      <c r="D26" s="13" t="inlineStr">
        <is>
          <t>solo mencion de inmueble, sin servicio inmobiliario</t>
        </is>
      </c>
    </row>
    <row r="27">
      <c r="A27" s="11" t="inlineStr">
        <is>
          <t>1057509-303-LR26</t>
        </is>
      </c>
      <c r="B27" s="13" t="inlineStr">
        <is>
          <t>CONVENIO PROVEEDURÍA DE AUDÍFONOS Y EQUIPAMIENTO ASOCIADO EN COMODATO fgh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1057510-69-LE26</t>
        </is>
      </c>
      <c r="B28" s="13" t="inlineStr">
        <is>
          <t>CONVENIO ARRIENDO DE DISPENSADORES DE AGUA PURIFICADA CON CONEXIÓN A RED DE AGUA POTABLE PARA EL HOSPITAL DE SAN CARLOS DR. BENICIO ARZOLA MEDINA</t>
        </is>
      </c>
      <c r="C28" s="11" t="n">
        <v>0</v>
      </c>
      <c r="D28" s="13" t="inlineStr">
        <is>
          <t>score 0 &lt; 30</t>
        </is>
      </c>
    </row>
    <row r="29">
      <c r="A29" s="11" t="inlineStr">
        <is>
          <t>1057532-77-LE26</t>
        </is>
      </c>
      <c r="B29" s="13" t="inlineStr">
        <is>
          <t>“ADQUISICION DE CINTAS DE GLICEMIA CON GLUCOMETROS EN COMODATO PARA RED ASISTENCIAL APS EN CUMPLIMIENTO DE PROGRAMAS MINISTERIALES DE APS”</t>
        </is>
      </c>
      <c r="C29" s="11" t="n">
        <v>0</v>
      </c>
      <c r="D29" s="13" t="inlineStr">
        <is>
          <t>score 0 &lt; 30</t>
        </is>
      </c>
    </row>
    <row r="30">
      <c r="A30" s="11" t="inlineStr">
        <is>
          <t>1057532-78-LP26</t>
        </is>
      </c>
      <c r="B30" s="13" t="inlineStr">
        <is>
          <t>CONVENIO DE ADQUISICION DE KIT POINT OF CARE POC CON ARRIENDO DE EQUIPO PARA ANALISIS DE MUESTRAS SERVICIO DE SALUD OSORNO.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1057539-150-LP26</t>
        </is>
      </c>
      <c r="B31" s="13" t="inlineStr">
        <is>
          <t>CS prestaciones de uroanalisis con eq comodato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1057539-151-LP26</t>
        </is>
      </c>
      <c r="B32" s="13" t="inlineStr">
        <is>
          <t>ARRIENDO DE SIMULADORES Y ANALIZADORES BIOMÉDICOS SOLIC 2026-401.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1057898-96-L126</t>
        </is>
      </c>
      <c r="B33" s="13" t="inlineStr">
        <is>
          <t>ADQUISICIÓN DE EQUIPAMIENTO PARA GIMNASIO DE REHABILITACIÓN PARA NUEVO HOSPITAL REGIONAL ÑUBLE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1058078-54-LP26</t>
        </is>
      </c>
      <c r="B34" s="13" t="inlineStr">
        <is>
          <t>Medios de Contraste Radiológicos con comodato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1058900-13-LE26</t>
        </is>
      </c>
      <c r="B35" s="13" t="inlineStr">
        <is>
          <t>Servicio de Mantención Preventiva y Correctiva para Equipamiento del Departamento de Odontología</t>
        </is>
      </c>
      <c r="C35" s="11" t="n">
        <v>5</v>
      </c>
      <c r="D35" s="13" t="inlineStr">
        <is>
          <t>solo mencion de inmueble, sin servicio inmobiliario</t>
        </is>
      </c>
    </row>
    <row r="36">
      <c r="A36" s="11" t="inlineStr">
        <is>
          <t>1062448-11-LE26</t>
        </is>
      </c>
      <c r="B36" s="13" t="inlineStr">
        <is>
          <t>HABILITACIÓN BODEGA FICHAS CLÍNICAS CESFAM VIOLETA PARRA CHILLÁN</t>
        </is>
      </c>
      <c r="C36" s="11" t="n">
        <v>19</v>
      </c>
      <c r="D36" s="13" t="inlineStr">
        <is>
          <t>score 19 &lt; 30</t>
        </is>
      </c>
    </row>
    <row r="37">
      <c r="A37" s="11" t="inlineStr">
        <is>
          <t>1063538-222-LE26</t>
        </is>
      </c>
      <c r="B37" s="13" t="inlineStr">
        <is>
          <t>SERVICIO DE ARRIENDO LÁMPARAS QUIRÚRGICAS DOBLE</t>
        </is>
      </c>
      <c r="C37" s="11" t="n">
        <v>0</v>
      </c>
      <c r="D37" s="13" t="inlineStr">
        <is>
          <t>score 0 &lt; 30</t>
        </is>
      </c>
    </row>
    <row r="38">
      <c r="A38" s="11" t="inlineStr">
        <is>
          <t>1075963-351-LP26</t>
        </is>
      </c>
      <c r="B38" s="13" t="inlineStr">
        <is>
          <t>CONVENIO SUMINISTRO FÁRMACOS PROPOFOL + EQUIPO EN COMODATO DE ADMINISTRACIÓN TIVA + EQUIPO EN COMODATO DE MONITOR PROFUNDIDAD ANESTÉSICA + ELECTRODO SENSOR DE SEDACIÓN PROFUNDA DE CONTACTO NO INVASIVO</t>
        </is>
      </c>
      <c r="C38" s="11" t="n">
        <v>0</v>
      </c>
      <c r="D38" s="13" t="inlineStr">
        <is>
          <t>score 0 &lt; 30</t>
        </is>
      </c>
    </row>
    <row r="39">
      <c r="A39" s="11" t="inlineStr">
        <is>
          <t>1075963-403-L126</t>
        </is>
      </c>
      <c r="B39" s="13" t="inlineStr">
        <is>
          <t>ARRIENDO SISTEMA MONITOREO EN LINEA PARA REFRIGERADORES DE FARMACOS ONCOLOGICOS</t>
        </is>
      </c>
      <c r="C39" s="11" t="n">
        <v>15</v>
      </c>
      <c r="D39" s="13" t="inlineStr">
        <is>
          <t>score 15 &lt; 30</t>
        </is>
      </c>
    </row>
    <row r="40">
      <c r="A40" s="11" t="inlineStr">
        <is>
          <t>1076710-10-LP26</t>
        </is>
      </c>
      <c r="B40" s="13" t="inlineStr">
        <is>
          <t xml:space="preserve">SUMINISTRO OFICINALES Y MAGISTRALES POR 12 MESES </t>
        </is>
      </c>
      <c r="C40" s="11" t="n">
        <v>10</v>
      </c>
      <c r="D40" s="13" t="inlineStr">
        <is>
          <t>solo mencion de inmueble, sin servicio inmobiliario</t>
        </is>
      </c>
    </row>
    <row r="41">
      <c r="A41" s="11" t="inlineStr">
        <is>
          <t>1085111-23-O126</t>
        </is>
      </c>
      <c r="B41" s="13" t="inlineStr">
        <is>
          <t>CONSERVACIÓN TECHUMBRE EDIFICIO SERVIU ÑUBLE</t>
        </is>
      </c>
      <c r="C41" s="11" t="n">
        <v>8</v>
      </c>
      <c r="D41" s="13" t="inlineStr">
        <is>
          <t>solo mencion de inmueble, sin servicio inmobiliario</t>
        </is>
      </c>
    </row>
    <row r="42">
      <c r="A42" s="11" t="inlineStr">
        <is>
          <t>1096-15-O126</t>
        </is>
      </c>
      <c r="B42" s="13" t="inlineStr">
        <is>
          <t>ATIF HABILITACIÓN CALLE DE RODAJE ALFA Y OBRAS ANEXAS AEROPUERTO PUNTA AREN</t>
        </is>
      </c>
      <c r="C42" s="11" t="n">
        <v>0</v>
      </c>
      <c r="D42" s="13" t="inlineStr">
        <is>
          <t>score 0 &lt; 30</t>
        </is>
      </c>
    </row>
    <row r="43">
      <c r="A43" s="11" t="inlineStr">
        <is>
          <t>1106-22-LP26</t>
        </is>
      </c>
      <c r="B43" s="13" t="inlineStr">
        <is>
          <t>Serv Arriendo Eq para faenas de Colocacion asfalto</t>
        </is>
      </c>
      <c r="C43" s="11" t="n">
        <v>0</v>
      </c>
      <c r="D43" s="13" t="inlineStr">
        <is>
          <t>score 0 &lt; 30</t>
        </is>
      </c>
    </row>
    <row r="44">
      <c r="A44" s="11" t="inlineStr">
        <is>
          <t>1106-26-LE26</t>
        </is>
      </c>
      <c r="B44" s="13" t="inlineStr">
        <is>
          <t>Servicio de Arriendo de Maquina Hinca Pilotes</t>
        </is>
      </c>
      <c r="C44" s="11" t="n">
        <v>0</v>
      </c>
      <c r="D44" s="13" t="inlineStr">
        <is>
          <t>score 0 &lt; 30</t>
        </is>
      </c>
    </row>
    <row r="45">
      <c r="A45" s="11" t="inlineStr">
        <is>
          <t>1109692-9-LE26</t>
        </is>
      </c>
      <c r="B45" s="13" t="inlineStr">
        <is>
          <t>NORMALIZACIÓN ELÉCTRICA INTEGRAL SEDE PORVENIR</t>
        </is>
      </c>
      <c r="C45" s="11" t="n">
        <v>8</v>
      </c>
      <c r="D45" s="13" t="inlineStr">
        <is>
          <t>solo mencion de inmueble, sin servicio inmobiliario</t>
        </is>
      </c>
    </row>
    <row r="46">
      <c r="A46" s="11" t="inlineStr">
        <is>
          <t>1110404-205-LP26</t>
        </is>
      </c>
      <c r="B46" s="13" t="inlineStr">
        <is>
          <t>MANTENCIÓN SS.HH. Y COCINAS DE CASAS DE PROFESORES Y REPOSICION DE CUBICULOS SEPARADORES EN SS.HH. DEL ESTABLECIMIENTO LICEO GRANADEROS DE PUTRE PERTENECIENTE A SLEP DE CHINCHORRO</t>
        </is>
      </c>
      <c r="C46" s="11" t="n">
        <v>5</v>
      </c>
      <c r="D46" s="13" t="inlineStr">
        <is>
          <t>solo mencion de inmueble, sin servicio inmobiliario</t>
        </is>
      </c>
    </row>
    <row r="47">
      <c r="A47" s="11" t="inlineStr">
        <is>
          <t>1110404-208-L126</t>
        </is>
      </c>
      <c r="B47" s="13" t="inlineStr">
        <is>
          <t>ADQUISICION SALIDA A TERRENO PEDAGÓGICA PARA HUMBERSTONE - SANTA LAURA PARA EL 8 Y 9 DE OCTUBRE PARA 254 PERSONAS PERTENECIENTES AL CIEF, DEL SLEPCH, ARICA</t>
        </is>
      </c>
      <c r="C47" s="11" t="n">
        <v>9</v>
      </c>
      <c r="D47" s="13" t="inlineStr">
        <is>
          <t>solo mencion de inmueble, sin servicio inmobiliario</t>
        </is>
      </c>
    </row>
    <row r="48">
      <c r="A48" s="11" t="inlineStr">
        <is>
          <t>1160-16-LE26</t>
        </is>
      </c>
      <c r="B48" s="13" t="inlineStr">
        <is>
          <t>8100CAMBIO DE VENTANAS TERMOPANEL OFICINAS SAG</t>
        </is>
      </c>
      <c r="C48" s="11" t="n">
        <v>16</v>
      </c>
      <c r="D48" s="13" t="inlineStr">
        <is>
          <t>score 16 &lt; 30</t>
        </is>
      </c>
    </row>
    <row r="49">
      <c r="A49" s="11" t="inlineStr">
        <is>
          <t>1161-11-LE26</t>
        </is>
      </c>
      <c r="B49" s="13" t="inlineStr">
        <is>
          <t>CONVENIO MANTENCIÓN-REPARACIÓN EDIFICIOS OSORNO</t>
        </is>
      </c>
      <c r="C49" s="11" t="n">
        <v>8</v>
      </c>
      <c r="D49" s="13" t="inlineStr">
        <is>
          <t>solo mencion de inmueble, sin servicio inmobiliario</t>
        </is>
      </c>
    </row>
    <row r="50">
      <c r="A50" s="11" t="inlineStr">
        <is>
          <t>1171317-10-LP26</t>
        </is>
      </c>
      <c r="B50" s="13" t="inlineStr">
        <is>
          <t xml:space="preserve">CONSTRUCCIÓN SEDE SOCIAL AGRUPACIÓN DE MOTOQUEROS CHILLÁN </t>
        </is>
      </c>
      <c r="C50" s="11" t="n">
        <v>8</v>
      </c>
      <c r="D50" s="13" t="inlineStr">
        <is>
          <t>solo mencion de inmueble, sin servicio inmobiliario</t>
        </is>
      </c>
    </row>
    <row r="51">
      <c r="A51" s="11" t="inlineStr">
        <is>
          <t>1175-74-LP26</t>
        </is>
      </c>
      <c r="B51" s="13" t="inlineStr">
        <is>
          <t>6026: “ARRIENDO DE EQUIPOS CRITICOS PARA EL SAMU SSAS”</t>
        </is>
      </c>
      <c r="C51" s="11" t="n">
        <v>0</v>
      </c>
      <c r="D51" s="13" t="inlineStr">
        <is>
          <t>score 0 &lt; 30</t>
        </is>
      </c>
    </row>
    <row r="52">
      <c r="A52" s="11" t="inlineStr">
        <is>
          <t>1180730-38-LE26</t>
        </is>
      </c>
      <c r="B52" s="13" t="inlineStr">
        <is>
          <t>BOLSOS DE TERRENO ESPECIALIDAD CESFAM 18</t>
        </is>
      </c>
      <c r="C52" s="11" t="n">
        <v>9</v>
      </c>
      <c r="D52" s="13" t="inlineStr">
        <is>
          <t>solo mencion de inmueble, sin servicio inmobiliario</t>
        </is>
      </c>
    </row>
    <row r="53">
      <c r="A53" s="11" t="inlineStr">
        <is>
          <t>1186229-28-LE26</t>
        </is>
      </c>
      <c r="B53" s="13" t="inlineStr">
        <is>
          <t>Ropa técnica de trabajo Unidad Atención en terreno</t>
        </is>
      </c>
      <c r="C53" s="11" t="n">
        <v>9</v>
      </c>
      <c r="D53" s="13" t="inlineStr">
        <is>
          <t>solo mencion de inmueble, sin servicio inmobiliario</t>
        </is>
      </c>
    </row>
    <row r="54">
      <c r="A54" s="11" t="inlineStr">
        <is>
          <t>1202333-89-LE26</t>
        </is>
      </c>
      <c r="B54" s="13" t="inlineStr">
        <is>
          <t>CONSTRUCCIÓN CIERRE PERIMETRAL SEDE JUNTA DE VECINOS MANUEL RODRIGUEZ QUINTERO.</t>
        </is>
      </c>
      <c r="C54" s="11" t="n">
        <v>8</v>
      </c>
      <c r="D54" s="13" t="inlineStr">
        <is>
          <t>solo mencion de inmueble, sin servicio inmobiliario</t>
        </is>
      </c>
    </row>
    <row r="55">
      <c r="A55" s="11" t="inlineStr">
        <is>
          <t>1208100-8-LP26</t>
        </is>
      </c>
      <c r="B55" s="13" t="inlineStr">
        <is>
          <t xml:space="preserve">SERVICIO DE TRANSPORTE Y TRASLADO DE PASAJEROS PARA LA UNIDAD DE EVALUACIÓN FORMATIVA PARA LA ADOPCIÓN Y EL ACOGIMIENTO UEFAA Y RESIDENCIA FAMILIAR DE ADOLESCENTES DE MACHALÍ </t>
        </is>
      </c>
      <c r="C55" s="11" t="n">
        <v>0</v>
      </c>
      <c r="D55" s="13" t="inlineStr">
        <is>
          <t>score 0 &lt; 30</t>
        </is>
      </c>
    </row>
    <row r="56">
      <c r="A56" s="11" t="inlineStr">
        <is>
          <t>1209403-10-LE26</t>
        </is>
      </c>
      <c r="B56" s="13" t="inlineStr">
        <is>
          <t>CONVENIO SUMINISTRO MANTENCION DE VENTANAS RFA AYS</t>
        </is>
      </c>
      <c r="C56" s="11" t="n">
        <v>10</v>
      </c>
      <c r="D56" s="13" t="inlineStr">
        <is>
          <t>score 10 &lt; 30</t>
        </is>
      </c>
    </row>
    <row r="57">
      <c r="A57" s="11" t="inlineStr">
        <is>
          <t>1220203-19-L126</t>
        </is>
      </c>
      <c r="B57" s="13" t="inlineStr">
        <is>
          <t>“ASESORIA ELECTRICA LA INSPECCION FISCAL DE LA OBRA DE HABILITACIÓN BODEGA EDIFICIO EX MOLINERA REGIÓN DE ANTOFAGASTA, CODIGO BIP 40073549”, PROYECTO FINANCIADO CON FONDOS FNDR</t>
        </is>
      </c>
      <c r="C57" s="11" t="n">
        <v>14</v>
      </c>
      <c r="D57" s="13" t="inlineStr">
        <is>
          <t>score 14 &lt; 30</t>
        </is>
      </c>
    </row>
    <row r="58">
      <c r="A58" s="11" t="inlineStr">
        <is>
          <t>1233619-46-LP26</t>
        </is>
      </c>
      <c r="B58" s="13" t="inlineStr">
        <is>
          <t>HABILITACIÓN EDIFICIO BALMACEDA CAUQUENES</t>
        </is>
      </c>
      <c r="C58" s="11" t="n">
        <v>14</v>
      </c>
      <c r="D58" s="13" t="inlineStr">
        <is>
          <t>score 14 &lt; 30</t>
        </is>
      </c>
    </row>
    <row r="59">
      <c r="A59" s="11" t="inlineStr">
        <is>
          <t>1237328-66-LE26</t>
        </is>
      </c>
      <c r="B59" s="13" t="inlineStr">
        <is>
          <t>MEJORAMIENTO Y HABILITACIÓN CESFAM CARLOS IBAÑEZ</t>
        </is>
      </c>
      <c r="C59" s="11" t="n">
        <v>8</v>
      </c>
      <c r="D59" s="13" t="inlineStr">
        <is>
          <t>score 8 &lt; 30</t>
        </is>
      </c>
    </row>
    <row r="60">
      <c r="A60" s="11" t="inlineStr">
        <is>
          <t>1238128-5-LE26</t>
        </is>
      </c>
      <c r="B60" s="13" t="inlineStr">
        <is>
          <t>REHABILITACIÓN Y PINTURA DE LA PISCINA PRINCIPAL T</t>
        </is>
      </c>
      <c r="C60" s="11" t="n">
        <v>0</v>
      </c>
      <c r="D60" s="13" t="inlineStr">
        <is>
          <t>score 0 &lt; 30</t>
        </is>
      </c>
    </row>
    <row r="61">
      <c r="A61" s="11" t="inlineStr">
        <is>
          <t>1242131-24-LP26</t>
        </is>
      </c>
      <c r="B61" s="13" t="inlineStr">
        <is>
          <t>Convenio de Suministro de tiras reactivas para determinación de glucosa con lancetas y glucómetros en comodato para el Hospital Provincial de Ovalle</t>
        </is>
      </c>
      <c r="C61" s="11" t="n">
        <v>0</v>
      </c>
      <c r="D61" s="13" t="inlineStr">
        <is>
          <t>score 0 &lt; 30</t>
        </is>
      </c>
    </row>
    <row r="62">
      <c r="A62" s="11" t="inlineStr">
        <is>
          <t>1247197-69-LE26</t>
        </is>
      </c>
      <c r="B62" s="13" t="inlineStr">
        <is>
          <t>HABILITACIÓN BOXES CECOSF ALBERTO BACHELET</t>
        </is>
      </c>
      <c r="C62" s="11" t="n">
        <v>8</v>
      </c>
      <c r="D62" s="13" t="inlineStr">
        <is>
          <t>score 8 &lt; 30</t>
        </is>
      </c>
    </row>
    <row r="63">
      <c r="A63" s="11" t="inlineStr">
        <is>
          <t>1274667-19-LE26</t>
        </is>
      </c>
      <c r="B63" s="13" t="inlineStr">
        <is>
          <t>JJA-PROYECTO HABILITACION SALA REHABILITACION NNA</t>
        </is>
      </c>
      <c r="C63" s="11" t="n">
        <v>0</v>
      </c>
      <c r="D63" s="13" t="inlineStr">
        <is>
          <t>score 0 &lt; 30</t>
        </is>
      </c>
    </row>
    <row r="64">
      <c r="A64" s="11" t="inlineStr">
        <is>
          <t>1298354-27-LE26</t>
        </is>
      </c>
      <c r="B64" s="13" t="inlineStr">
        <is>
          <t>Conservación y Habilitación Salas y Muros</t>
        </is>
      </c>
      <c r="C64" s="11" t="n">
        <v>0</v>
      </c>
      <c r="D64" s="13" t="inlineStr">
        <is>
          <t>score 0 &lt; 30</t>
        </is>
      </c>
    </row>
    <row r="65">
      <c r="A65" s="11" t="inlineStr">
        <is>
          <t>1298354-28-LE26</t>
        </is>
      </c>
      <c r="B65" s="13" t="inlineStr">
        <is>
          <t>Suministro de Servicios de Traslados</t>
        </is>
      </c>
      <c r="C65" s="11" t="n">
        <v>6</v>
      </c>
      <c r="D65" s="13" t="inlineStr">
        <is>
          <t>score 6 &lt; 30</t>
        </is>
      </c>
    </row>
    <row r="66">
      <c r="A66" s="11" t="inlineStr">
        <is>
          <t>1305504-16-L126</t>
        </is>
      </c>
      <c r="B66" s="13" t="inlineStr">
        <is>
          <t>HABILITACIÓN DE OFICINA PARA CENTRAL DE CÁMARAS</t>
        </is>
      </c>
      <c r="C66" s="11" t="n">
        <v>16</v>
      </c>
      <c r="D66" s="13" t="inlineStr">
        <is>
          <t>score 16 &lt; 30</t>
        </is>
      </c>
    </row>
    <row r="67">
      <c r="A67" s="11" t="inlineStr">
        <is>
          <t>1350296-86-LE26</t>
        </is>
      </c>
      <c r="B67" s="13" t="inlineStr">
        <is>
          <t>ADQUISICIÓN DE CARPETAS PARA FICHAS CLÍNICAS PARA LA UNIDAD DE BODEGA GENERAL DEL HOSPITAL ALTO HOSPICIO</t>
        </is>
      </c>
      <c r="C67" s="11" t="n">
        <v>7</v>
      </c>
      <c r="D67" s="13" t="inlineStr">
        <is>
          <t>solo mencion de inmueble, sin servicio inmobiliario</t>
        </is>
      </c>
    </row>
    <row r="68">
      <c r="A68" s="11" t="inlineStr">
        <is>
          <t>1360-10-LE26</t>
        </is>
      </c>
      <c r="B68" s="13" t="inlineStr">
        <is>
          <t>CONTRATACIÓN DEL SERVICIO DE CONSTRUCCIÓN DE CIERRE PERIMETRAL CON ILUMINACIÓN LED DE INSTALACIÓN DE FAENAS PARA OFICINA DE PUENTE ALTO DE LA DIRECCIÓN REGIÓN METROPOLITANA</t>
        </is>
      </c>
      <c r="C68" s="11" t="n">
        <v>10</v>
      </c>
      <c r="D68" s="13" t="inlineStr">
        <is>
          <t>solo mencion de inmueble, sin servicio inmobiliario</t>
        </is>
      </c>
    </row>
    <row r="69">
      <c r="A69" s="11" t="inlineStr">
        <is>
          <t>1375158-7-LP26</t>
        </is>
      </c>
      <c r="B69" s="13" t="inlineStr">
        <is>
          <t>ADQUISICIÓN DE VEINTICUATRO 24 SIERRAS DE AUTOPSIA Y UN 01 PACK EQUIPOS DE REFRIGERACIÓNCONGELACIÓN PARA DEPARTAMENTO DE TANATOLOGÍA DEL NUEVO EDIFICIO INSTITUCIONAL DEL SERVICIO MÉDICO LEGAL DE SANTIAGO</t>
        </is>
      </c>
      <c r="C69" s="11" t="n">
        <v>8</v>
      </c>
      <c r="D69" s="13" t="inlineStr">
        <is>
          <t>solo mencion de inmueble, sin servicio inmobiliario</t>
        </is>
      </c>
    </row>
    <row r="70">
      <c r="A70" s="11" t="inlineStr">
        <is>
          <t>1375746-15-LE26</t>
        </is>
      </c>
      <c r="B70" s="13" t="inlineStr">
        <is>
          <t>SERVICIO DE HABILITACIÓN KITCHENETTE Y RECEPCIÓN CASONA DEL SLEP DEL ACONCAGUA</t>
        </is>
      </c>
      <c r="C70" s="11" t="n">
        <v>0</v>
      </c>
      <c r="D70" s="13" t="inlineStr">
        <is>
          <t>score 0 &lt; 30</t>
        </is>
      </c>
    </row>
    <row r="71">
      <c r="A71" s="11" t="inlineStr">
        <is>
          <t>1375746-19-LE26</t>
        </is>
      </c>
      <c r="B71" s="13" t="inlineStr">
        <is>
          <t>IMPLEMENTACIÓN Y HABILITACIÓN DE OFICINAS</t>
        </is>
      </c>
      <c r="C71" s="11" t="n">
        <v>16</v>
      </c>
      <c r="D71" s="13" t="inlineStr">
        <is>
          <t>score 16 &lt; 30</t>
        </is>
      </c>
    </row>
    <row r="72">
      <c r="A72" s="11" t="inlineStr">
        <is>
          <t>1377068-24-L126</t>
        </is>
      </c>
      <c r="B72" s="13" t="inlineStr">
        <is>
          <t>CONTRATACIÓN DE SUMINISTRO DE AGUA PURIFICADA Y ARRIENDO Y ADQUISICIÓN DE MÁQUINAS DISPENSADORAS PARA LO BARNECHEA SERVICIOS</t>
        </is>
      </c>
      <c r="C72" s="11" t="n">
        <v>0</v>
      </c>
      <c r="D72" s="13" t="inlineStr">
        <is>
          <t>score 0 &lt; 30</t>
        </is>
      </c>
    </row>
    <row r="73">
      <c r="A73" s="11" t="inlineStr">
        <is>
          <t>1377-1-LE26</t>
        </is>
      </c>
      <c r="B73" s="13" t="inlineStr">
        <is>
          <t>SERVICIO DE OOMM PARA OFICINAS DEL CDPR BIOBIO</t>
        </is>
      </c>
      <c r="C73" s="11" t="n">
        <v>10</v>
      </c>
      <c r="D73" s="13" t="inlineStr">
        <is>
          <t>solo mencion de inmueble, sin servicio inmobiliario</t>
        </is>
      </c>
    </row>
    <row r="74">
      <c r="A74" s="11" t="inlineStr">
        <is>
          <t>1388961-48-LE26</t>
        </is>
      </c>
      <c r="B74" s="13" t="inlineStr">
        <is>
          <t>Remodelación de Oficinas AMSZO.</t>
        </is>
      </c>
      <c r="C74" s="11" t="n">
        <v>10</v>
      </c>
      <c r="D74" s="13" t="inlineStr">
        <is>
          <t>solo mencion de inmueble, sin servicio inmobiliario</t>
        </is>
      </c>
    </row>
    <row r="75">
      <c r="A75" s="11" t="inlineStr">
        <is>
          <t>1417913-112-LE26</t>
        </is>
      </c>
      <c r="B75" s="13" t="inlineStr">
        <is>
          <t>SERVICIO DE ARRIENDO DE GRUPOS ELECTRÓGENOS PARA ESTABLECIMIENTOS DE SALUD DE CORMUDESI POR 24 MESES</t>
        </is>
      </c>
      <c r="C75" s="11" t="n">
        <v>0</v>
      </c>
      <c r="D75" s="13" t="inlineStr">
        <is>
          <t>score 0 &lt; 30</t>
        </is>
      </c>
    </row>
    <row r="76">
      <c r="A76" s="11" t="inlineStr">
        <is>
          <t>1417913-128-LR26</t>
        </is>
      </c>
      <c r="B76" s="13" t="inlineStr">
        <is>
          <t>SERVICIO DE TRASLADO DE FUNCIONARIOS DE CORMUDESI POR 24 MESES</t>
        </is>
      </c>
      <c r="C76" s="11" t="n">
        <v>8</v>
      </c>
      <c r="D76" s="13" t="inlineStr">
        <is>
          <t>score 8 &lt; 30</t>
        </is>
      </c>
    </row>
    <row r="77">
      <c r="A77" s="11" t="inlineStr">
        <is>
          <t>1417913-129-LP26</t>
        </is>
      </c>
      <c r="B77" s="13" t="inlineStr">
        <is>
          <t>CONVENIO DE SUMINISTRO PARA LA PROVISIÓN INSTALACIÓN MANTENCIÓN Y REPARACIÓN DE AIRES ACONDICIONADOS PARA DEPENDENCIAS DE CORMUDESI POR 24 MESES</t>
        </is>
      </c>
      <c r="C77" s="11" t="n">
        <v>8</v>
      </c>
      <c r="D77" s="13" t="inlineStr">
        <is>
          <t>solo mencion de inmueble, sin servicio inmobiliario</t>
        </is>
      </c>
    </row>
    <row r="78">
      <c r="A78" s="11" t="inlineStr">
        <is>
          <t>1469-224-L126</t>
        </is>
      </c>
      <c r="B78" s="13" t="inlineStr">
        <is>
          <t>ARRIENDO DE TÓTEMS INTERACTIVOS PARA PROYECTO MUNDOS INFINITOS CP25-E05, UNIVERSIDAD DE TALCA</t>
        </is>
      </c>
      <c r="C78" s="11" t="n">
        <v>0</v>
      </c>
      <c r="D78" s="13" t="inlineStr">
        <is>
          <t>score 0 &lt; 30</t>
        </is>
      </c>
    </row>
    <row r="79">
      <c r="A79" s="11" t="inlineStr">
        <is>
          <t>1469-229-L126</t>
        </is>
      </c>
      <c r="B79" s="13" t="inlineStr">
        <is>
          <t>ARRIENDO DE SALÓN Y SERVICIO DE CENA PARA ACTIVIDAD INSTITUCIONAL, PARA 55 PERSONAS</t>
        </is>
      </c>
      <c r="C79" s="11" t="n">
        <v>0</v>
      </c>
      <c r="D79" s="13" t="inlineStr">
        <is>
          <t>score 0 &lt; 30</t>
        </is>
      </c>
    </row>
    <row r="80">
      <c r="A80" s="11" t="inlineStr">
        <is>
          <t>1469-232-L126</t>
        </is>
      </c>
      <c r="B80" s="13" t="inlineStr">
        <is>
          <t>SERVICIO INTEGRAL DE ARRIENDO DE RECINTO Y PARRILLERO, UNIVERSIDAD DE TALCA</t>
        </is>
      </c>
      <c r="C80" s="11" t="n">
        <v>17</v>
      </c>
      <c r="D80" s="13" t="inlineStr">
        <is>
          <t>score 17 &lt; 30</t>
        </is>
      </c>
    </row>
    <row r="81">
      <c r="A81" s="11" t="inlineStr">
        <is>
          <t>1477-9-LE26</t>
        </is>
      </c>
      <c r="B81" s="13" t="inlineStr">
        <is>
          <t>Habilitación ODL Talagante CAJ R.M.</t>
        </is>
      </c>
      <c r="C81" s="11" t="n">
        <v>11</v>
      </c>
      <c r="D81" s="13" t="inlineStr">
        <is>
          <t>score 11 &lt; 30</t>
        </is>
      </c>
    </row>
    <row r="82">
      <c r="A82" s="11" t="inlineStr">
        <is>
          <t>1479098-27-L126</t>
        </is>
      </c>
      <c r="B82" s="13" t="inlineStr">
        <is>
          <t xml:space="preserve">PTR N°498 - SERVICIO DE REPARACION DE PUERTA MECANIZADA DE ACCESO LATERAL A JUZGADO DE POLICIA LOCAL DEL EDIFICIO CENTRO CIVICO DE VITACURA. </t>
        </is>
      </c>
      <c r="C82" s="11" t="n">
        <v>8</v>
      </c>
      <c r="D82" s="13" t="inlineStr">
        <is>
          <t>solo mencion de inmueble, sin servicio inmobiliario</t>
        </is>
      </c>
    </row>
    <row r="83">
      <c r="A83" s="11" t="inlineStr">
        <is>
          <t>1479098-28-L126</t>
        </is>
      </c>
      <c r="B83" s="13" t="inlineStr">
        <is>
          <t xml:space="preserve">PTR N°511 - SUMINISTRO E CAMBIO DE VENTILACION DE EXTRACTOR E INSTALACION DE CORTINA DE AIRE EN EL EDIFICIO VITACLUB </t>
        </is>
      </c>
      <c r="C83" s="11" t="n">
        <v>8</v>
      </c>
      <c r="D83" s="13" t="inlineStr">
        <is>
          <t>solo mencion de inmueble, sin servicio inmobiliario</t>
        </is>
      </c>
    </row>
    <row r="84">
      <c r="A84" s="11" t="inlineStr">
        <is>
          <t>1483330-1-LP26</t>
        </is>
      </c>
      <c r="B84" s="13" t="inlineStr">
        <is>
          <t>SERVICIO DE ARRIENDO IMPLEMENTACIÓN Y MANTENCIÓN</t>
        </is>
      </c>
      <c r="C84" s="11" t="n">
        <v>0</v>
      </c>
      <c r="D84" s="13" t="inlineStr">
        <is>
          <t>score 0 &lt; 30</t>
        </is>
      </c>
    </row>
    <row r="85">
      <c r="A85" s="11" t="inlineStr">
        <is>
          <t>1488587-34-LP26</t>
        </is>
      </c>
      <c r="B85" s="13" t="inlineStr">
        <is>
          <t>Habilitación de un Espacio y Oficinas para la Coordinación y Vinculación de Actividades I+D+i+eCampus Andres Bello de la Universidad de La Serena</t>
        </is>
      </c>
      <c r="C85" s="11" t="n">
        <v>16</v>
      </c>
      <c r="D85" s="13" t="inlineStr">
        <is>
          <t>score 16 &lt; 30</t>
        </is>
      </c>
    </row>
    <row r="86">
      <c r="A86" s="11" t="inlineStr">
        <is>
          <t>1495202-4-LE26</t>
        </is>
      </c>
      <c r="B86" s="13" t="inlineStr">
        <is>
          <t>HABILITACION OFICINA DR ANTOFAGASTA SBAP</t>
        </is>
      </c>
      <c r="C86" s="11" t="n">
        <v>16</v>
      </c>
      <c r="D86" s="13" t="inlineStr">
        <is>
          <t>score 16 &lt; 30</t>
        </is>
      </c>
    </row>
    <row r="87">
      <c r="A87" s="11" t="inlineStr">
        <is>
          <t>1533460-6-LP26</t>
        </is>
      </c>
      <c r="B87" s="13" t="inlineStr">
        <is>
          <t>SERVICIO DE ARRIENDO DE SISTEMA INFORMÁTICO FINANCIERO CONTABLE Y RECURSOS HUMANOS</t>
        </is>
      </c>
      <c r="C87" s="11" t="n">
        <v>0</v>
      </c>
      <c r="D87" s="13" t="inlineStr">
        <is>
          <t>score 0 &lt; 30</t>
        </is>
      </c>
    </row>
    <row r="88">
      <c r="A88" s="11" t="inlineStr">
        <is>
          <t>1540667-6-LR26</t>
        </is>
      </c>
      <c r="B88" s="13" t="inlineStr">
        <is>
          <t>OBRA REMODELACIÓN SERV MED FÍSICA Y REHABILITACIÓN</t>
        </is>
      </c>
      <c r="C88" s="11" t="n">
        <v>0</v>
      </c>
      <c r="D88" s="13" t="inlineStr">
        <is>
          <t>score 0 &lt; 30</t>
        </is>
      </c>
    </row>
    <row r="89">
      <c r="A89" s="11" t="inlineStr">
        <is>
          <t>1549-70-LR26</t>
        </is>
      </c>
      <c r="B89" s="13" t="inlineStr">
        <is>
          <t>ARRIENDO DE 07 MAQUINAS DE ANESTESIA</t>
        </is>
      </c>
      <c r="C89" s="11" t="n">
        <v>0</v>
      </c>
      <c r="D89" s="13" t="inlineStr">
        <is>
          <t>score 0 &lt; 30</t>
        </is>
      </c>
    </row>
    <row r="90">
      <c r="A90" s="11" t="inlineStr">
        <is>
          <t>1549-90-LP26</t>
        </is>
      </c>
      <c r="B90" s="13" t="inlineStr">
        <is>
          <t>ARRIENDO DE 14 SILLONES DE HEMODIÁLISIS</t>
        </is>
      </c>
      <c r="C90" s="11" t="n">
        <v>0</v>
      </c>
      <c r="D90" s="13" t="inlineStr">
        <is>
          <t>score 0 &lt; 30</t>
        </is>
      </c>
    </row>
    <row r="91">
      <c r="A91" s="11" t="inlineStr">
        <is>
          <t>1549-92-LP26</t>
        </is>
      </c>
      <c r="B91" s="13" t="inlineStr">
        <is>
          <t>HABILITACIÓN UNIDAD DE HOSPITALIZACIÓN DOMICILIARI</t>
        </is>
      </c>
      <c r="C91" s="11" t="n">
        <v>0</v>
      </c>
      <c r="D91" s="13" t="inlineStr">
        <is>
          <t>score 0 &lt; 30</t>
        </is>
      </c>
    </row>
    <row r="92">
      <c r="A92" s="11" t="inlineStr">
        <is>
          <t>1549-97-LP26</t>
        </is>
      </c>
      <c r="B92" s="13" t="inlineStr">
        <is>
          <t>ARRIENDO EQUIPO POLISOMNOGRAFIA UNIDAD NEUROLOGIA</t>
        </is>
      </c>
      <c r="C92" s="11" t="n">
        <v>0</v>
      </c>
      <c r="D92" s="13" t="inlineStr">
        <is>
          <t>score 0 &lt; 30</t>
        </is>
      </c>
    </row>
    <row r="93">
      <c r="A93" s="11" t="inlineStr">
        <is>
          <t>1562-60-LR26</t>
        </is>
      </c>
      <c r="B93" s="13" t="inlineStr">
        <is>
          <t>ARRIENDO INFRAESTRUCTURA DE PROCESAMIENTO Y ALMACE</t>
        </is>
      </c>
      <c r="C93" s="11" t="n">
        <v>12</v>
      </c>
      <c r="D93" s="13" t="inlineStr">
        <is>
          <t>score 12 &lt; 30</t>
        </is>
      </c>
    </row>
    <row r="94">
      <c r="A94" s="11" t="inlineStr">
        <is>
          <t>1574-35-LP26</t>
        </is>
      </c>
      <c r="B94" s="13" t="inlineStr">
        <is>
          <t>SCHEE - CONTRATO SUMINISTRO MANTENCION J.I. Y OFICINAS PROVINCIA DE ELQUI ZONA 2</t>
        </is>
      </c>
      <c r="C94" s="11" t="n">
        <v>10</v>
      </c>
      <c r="D94" s="13" t="inlineStr">
        <is>
          <t>solo mencion de inmueble, sin servicio inmobiliario</t>
        </is>
      </c>
    </row>
    <row r="95">
      <c r="A95" s="11" t="inlineStr">
        <is>
          <t>1576-17-LP26</t>
        </is>
      </c>
      <c r="B95" s="13" t="inlineStr">
        <is>
          <t>SUMINISTRO POR EL SERVICIO DE MANTENCION Y REPARACIONES DE JARDINES INFANTILES Y SALAS CUNAS OFICINAS Y BODEGAS DE LA JUNTA NACIONAL DE JARDINES INFANTILES REGION DEL BIOBIO</t>
        </is>
      </c>
      <c r="C95" s="11" t="n">
        <v>10</v>
      </c>
      <c r="D95" s="13" t="inlineStr">
        <is>
          <t>solo mencion de inmueble, sin servicio inmobiliario</t>
        </is>
      </c>
    </row>
    <row r="96">
      <c r="A96" s="11" t="inlineStr">
        <is>
          <t>1596-50-LP26</t>
        </is>
      </c>
      <c r="B96" s="13" t="inlineStr">
        <is>
          <t>PANTALLA LED PARA EL EDIFICIO DEL GORE MAULE</t>
        </is>
      </c>
      <c r="C96" s="11" t="n">
        <v>8</v>
      </c>
      <c r="D96" s="13" t="inlineStr">
        <is>
          <t>solo mencion de inmueble, sin servicio inmobiliario</t>
        </is>
      </c>
    </row>
    <row r="97">
      <c r="A97" s="11" t="inlineStr">
        <is>
          <t>1602-18-LE26</t>
        </is>
      </c>
      <c r="B97" s="13" t="inlineStr">
        <is>
          <t>Servicio de Arriendo de 34 Máquinas Dispensadoras de Agua 113 dgv</t>
        </is>
      </c>
      <c r="C97" s="11" t="n">
        <v>16</v>
      </c>
      <c r="D97" s="13" t="inlineStr">
        <is>
          <t>score 16 &lt; 30</t>
        </is>
      </c>
    </row>
    <row r="98">
      <c r="A98" s="11" t="inlineStr">
        <is>
          <t>1638-91-LE26</t>
        </is>
      </c>
      <c r="B98" s="13" t="inlineStr">
        <is>
          <t>MEJORAMIENTO ACCESO SEDE CENTRO ESTACION DIEGO DE ALMAGRO SM 1245</t>
        </is>
      </c>
      <c r="C98" s="11" t="n">
        <v>8</v>
      </c>
      <c r="D98" s="13" t="inlineStr">
        <is>
          <t>solo mencion de inmueble, sin servicio inmobiliario</t>
        </is>
      </c>
    </row>
    <row r="99">
      <c r="A99" s="11" t="inlineStr">
        <is>
          <t>1641-392-LP26</t>
        </is>
      </c>
      <c r="B99" s="13" t="inlineStr">
        <is>
          <t>MOR - SERVICIO DE ARRIENDO DE SISTEMA DE MONITOREO NEUROFISIOLÓGICO INTRAOPERATORIO PARA NERVIO FACIAL Y NERVIO LARÍNGEO RECURRENTE</t>
        </is>
      </c>
      <c r="C99" s="11" t="n">
        <v>0</v>
      </c>
      <c r="D99" s="13" t="inlineStr">
        <is>
          <t>score 0 &lt; 30</t>
        </is>
      </c>
    </row>
    <row r="100">
      <c r="A100" s="11" t="inlineStr">
        <is>
          <t>1641-423-LE26</t>
        </is>
      </c>
      <c r="B100" s="13" t="inlineStr">
        <is>
          <t>FMM - ARRIENDO DE CENTRALES DE VACIO</t>
        </is>
      </c>
      <c r="C100" s="11" t="n">
        <v>0</v>
      </c>
      <c r="D100" s="13" t="inlineStr">
        <is>
          <t>score 0 &lt; 30</t>
        </is>
      </c>
    </row>
    <row r="101">
      <c r="A101" s="11" t="inlineStr">
        <is>
          <t>1663-145-LE26</t>
        </is>
      </c>
      <c r="B101" s="13" t="inlineStr">
        <is>
          <t>ARRIENDO CUNA DE PROCEDIMIENTO</t>
        </is>
      </c>
      <c r="C101" s="11" t="n">
        <v>0</v>
      </c>
      <c r="D101" s="13" t="inlineStr">
        <is>
          <t>score 0 &lt; 30</t>
        </is>
      </c>
    </row>
    <row r="102">
      <c r="A102" s="11" t="inlineStr">
        <is>
          <t>1664-24-LE26</t>
        </is>
      </c>
      <c r="B102" s="13" t="inlineStr">
        <is>
          <t>SERVICIO LABORISTA DENTAL REHABILITACION ORAL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1671-34-LE26</t>
        </is>
      </c>
      <c r="B103" s="13" t="inlineStr">
        <is>
          <t>“Reestructuración Oficina de Partes de la SEREMI d</t>
        </is>
      </c>
      <c r="C103" s="11" t="n">
        <v>10</v>
      </c>
      <c r="D103" s="13" t="inlineStr">
        <is>
          <t>solo mencion de inmueble, sin servicio inmobiliario</t>
        </is>
      </c>
    </row>
    <row r="104">
      <c r="A104" s="11" t="inlineStr">
        <is>
          <t>1735-50-LE26</t>
        </is>
      </c>
      <c r="B104" s="13" t="inlineStr">
        <is>
          <t>HABILITACION CEFAM DE CONTINGENCIA 3ra. ETAPA TUB</t>
        </is>
      </c>
      <c r="C104" s="11" t="n">
        <v>0</v>
      </c>
      <c r="D104" s="13" t="inlineStr">
        <is>
          <t>score 0 &lt; 30</t>
        </is>
      </c>
    </row>
    <row r="105">
      <c r="A105" s="11" t="inlineStr">
        <is>
          <t>1907-7-LE26</t>
        </is>
      </c>
      <c r="B105" s="13" t="inlineStr">
        <is>
          <t>REPARACION DE INMUEBLES DEL SERVICIO DE REGISTRO</t>
        </is>
      </c>
      <c r="C105" s="11" t="n">
        <v>14</v>
      </c>
      <c r="D105" s="13" t="inlineStr">
        <is>
          <t>solo mencion de inmueble, sin servicio inmobiliario</t>
        </is>
      </c>
    </row>
    <row r="106">
      <c r="A106" s="11" t="inlineStr">
        <is>
          <t>1947-113-LR26</t>
        </is>
      </c>
      <c r="B106" s="13" t="inlineStr">
        <is>
          <t>CONTRATACIÓN DEL SERVICIO DE NUTRICIONES PARENTERALES DE DIFERENTES VOLÚMENES CON BAJADAS DE BOMBA DE INFUSIÓN Y EQUIPOS EN COMODATO PARA EL HOSPITAL ROBERTO DEL RÍO CFO</t>
        </is>
      </c>
      <c r="C106" s="11" t="n">
        <v>0</v>
      </c>
      <c r="D106" s="13" t="inlineStr">
        <is>
          <t>score 0 &lt; 30</t>
        </is>
      </c>
    </row>
    <row r="107">
      <c r="A107" s="11" t="inlineStr">
        <is>
          <t>1947-170-LE26</t>
        </is>
      </c>
      <c r="B107" s="13" t="inlineStr">
        <is>
          <t xml:space="preserve">CONTRATACIÓN DEL SERVICIO DE ARRIENDO DE BODEGAS MODULARES PARA FICHAS CLÍNICAS DEL HOSPITAL DE NIÑOS DR. ROBERTO DEL RÍO. </t>
        </is>
      </c>
      <c r="C107" s="11" t="n">
        <v>19</v>
      </c>
      <c r="D107" s="13" t="inlineStr">
        <is>
          <t>score 19 &lt; 30</t>
        </is>
      </c>
    </row>
    <row r="108">
      <c r="A108" s="11" t="inlineStr">
        <is>
          <t>1979-196-LP26</t>
        </is>
      </c>
      <c r="B108" s="13" t="inlineStr">
        <is>
          <t>195.26 “ARRIENDO DE CATRES CLÍNICOS PARA VARIOS SERVICIO DE CLÍNICOS DEL NODO COSTERO: HOSPITAL NVA IMPERIAL.”</t>
        </is>
      </c>
      <c r="C108" s="11" t="n">
        <v>0</v>
      </c>
      <c r="D108" s="13" t="inlineStr">
        <is>
          <t>score 0 &lt; 30</t>
        </is>
      </c>
    </row>
    <row r="109">
      <c r="A109" s="11" t="inlineStr">
        <is>
          <t>2055-12-LE26</t>
        </is>
      </c>
      <c r="B109" s="13" t="inlineStr">
        <is>
          <t>Provisión e instalación de bodega Respel</t>
        </is>
      </c>
      <c r="C109" s="11" t="n">
        <v>7</v>
      </c>
      <c r="D109" s="13" t="inlineStr">
        <is>
          <t>solo mencion de inmueble, sin servicio inmobiliario</t>
        </is>
      </c>
    </row>
    <row r="110">
      <c r="A110" s="11" t="inlineStr">
        <is>
          <t>2078-42-LE26</t>
        </is>
      </c>
      <c r="B110" s="13" t="inlineStr">
        <is>
          <t>SERVICIOS DE MANTENCION Y REPARACIÓN DE LAS DEPENDENCIAS DEL LABORATORIO Y LA DVI DE LOS ÁNGELES SC360</t>
        </is>
      </c>
      <c r="C110" s="11" t="n">
        <v>8</v>
      </c>
      <c r="D110" s="13" t="inlineStr">
        <is>
          <t>solo mencion de inmueble, sin servicio inmobiliario</t>
        </is>
      </c>
    </row>
    <row r="111">
      <c r="A111" s="11" t="inlineStr">
        <is>
          <t>2078-43-LE26</t>
        </is>
      </c>
      <c r="B111" s="13" t="inlineStr">
        <is>
          <t>MEJORAMIENTO DE INFRAESTRUCTURA Y SEGURIDAD OFICINA TIC OF. CENTRAL SC385</t>
        </is>
      </c>
      <c r="C111" s="11" t="n">
        <v>10</v>
      </c>
      <c r="D111" s="13" t="inlineStr">
        <is>
          <t>solo mencion de inmueble, sin servicio inmobiliario</t>
        </is>
      </c>
    </row>
    <row r="112">
      <c r="A112" s="11" t="inlineStr">
        <is>
          <t>2098-141-LE26</t>
        </is>
      </c>
      <c r="B112" s="13" t="inlineStr">
        <is>
          <t>CONVENIO ARRIENDO DE DISPENSADORES DE AGUA 36 MESES</t>
        </is>
      </c>
      <c r="C112" s="11" t="n">
        <v>0</v>
      </c>
      <c r="D112" s="13" t="inlineStr">
        <is>
          <t>score 0 &lt; 30</t>
        </is>
      </c>
    </row>
    <row r="113">
      <c r="A113" s="11" t="inlineStr">
        <is>
          <t>2098-147-LE26</t>
        </is>
      </c>
      <c r="B113" s="13" t="inlineStr">
        <is>
          <t>MODIFICACION REPARACION Y HABILITACION DE ESPACIOS SERVICIO DE KINESIOLOGIA</t>
        </is>
      </c>
      <c r="C113" s="11" t="n">
        <v>0</v>
      </c>
      <c r="D113" s="13" t="inlineStr">
        <is>
          <t>score 0 &lt; 30</t>
        </is>
      </c>
    </row>
    <row r="114">
      <c r="A114" s="11" t="inlineStr">
        <is>
          <t>2107-153-LP26</t>
        </is>
      </c>
      <c r="B114" s="13" t="inlineStr">
        <is>
          <t>ARRIENDO DE INFRAESTRUCTURA FÍSICA ENTERPRISE PARA PLATAFORMA TECNOLÓGICA INSTITUCIONAL</t>
        </is>
      </c>
      <c r="C114" s="11" t="n">
        <v>0</v>
      </c>
      <c r="D114" s="13" t="inlineStr">
        <is>
          <t>score 0 &lt; 30</t>
        </is>
      </c>
    </row>
    <row r="115">
      <c r="A115" s="11" t="inlineStr">
        <is>
          <t>2107-157-LE26</t>
        </is>
      </c>
      <c r="B115" s="13" t="inlineStr">
        <is>
          <t>ADQUISICIÓN DE ARTICULOS DE ESCRITORIO PARA BODEGA DE ECONOMATO.</t>
        </is>
      </c>
      <c r="C115" s="11" t="n">
        <v>7</v>
      </c>
      <c r="D115" s="13" t="inlineStr">
        <is>
          <t>solo mencion de inmueble, sin servicio inmobiliario</t>
        </is>
      </c>
    </row>
    <row r="116">
      <c r="A116" s="11" t="inlineStr">
        <is>
          <t>2107-159-LE26</t>
        </is>
      </c>
      <c r="B116" s="13" t="inlineStr">
        <is>
          <t>ADQUISICIÓN DE ABARROTES Y FORMULAS PARA BODEGA DE ECONOMATO</t>
        </is>
      </c>
      <c r="C116" s="11" t="n">
        <v>7</v>
      </c>
      <c r="D116" s="13" t="inlineStr">
        <is>
          <t>solo mencion de inmueble, sin servicio inmobiliario</t>
        </is>
      </c>
    </row>
    <row r="117">
      <c r="A117" s="11" t="inlineStr">
        <is>
          <t>2107-162-LE26</t>
        </is>
      </c>
      <c r="B117" s="13" t="inlineStr">
        <is>
          <t>SUMINISTRO DE AGUA PURIFICADA ENVASADA CON COMODATO DE DISPENSADORES PARA EL HOSPITAL SANTA CRUZ</t>
        </is>
      </c>
      <c r="C117" s="11" t="n">
        <v>0</v>
      </c>
      <c r="D117" s="13" t="inlineStr">
        <is>
          <t>score 0 &lt; 30</t>
        </is>
      </c>
    </row>
    <row r="118">
      <c r="A118" s="11" t="inlineStr">
        <is>
          <t>2126-139-LR26</t>
        </is>
      </c>
      <c r="B118" s="13" t="inlineStr">
        <is>
          <t>Convenio de Suministro de Hemodiálisis con Arriendo de Equipamiento para el Hospital San Pablo de Coquimbo</t>
        </is>
      </c>
      <c r="C118" s="11" t="n">
        <v>0</v>
      </c>
      <c r="D118" s="13" t="inlineStr">
        <is>
          <t>score 0 &lt; 30</t>
        </is>
      </c>
    </row>
    <row r="119">
      <c r="A119" s="11" t="inlineStr">
        <is>
          <t>2189-11-L126</t>
        </is>
      </c>
      <c r="B119" s="13" t="inlineStr">
        <is>
          <t>ADQUISICIÓN SELLADOR DE TUBULADURAS CASA DEL DONANTE SSM</t>
        </is>
      </c>
      <c r="C119" s="11" t="n">
        <v>5</v>
      </c>
      <c r="D119" s="13" t="inlineStr">
        <is>
          <t>solo mencion de inmueble, sin servicio inmobiliario</t>
        </is>
      </c>
    </row>
    <row r="120">
      <c r="A120" s="11" t="inlineStr">
        <is>
          <t>2258-210-LR26</t>
        </is>
      </c>
      <c r="B120" s="13" t="inlineStr">
        <is>
          <t>TEST MOLECULARES CON ENTREGA DE EQUIPOS EN COMODATO PARA LA UNIDAD DE LABORATORIO CLÍNICO</t>
        </is>
      </c>
      <c r="C120" s="11" t="n">
        <v>0</v>
      </c>
      <c r="D120" s="13" t="inlineStr">
        <is>
          <t>score 0 &lt; 30</t>
        </is>
      </c>
    </row>
    <row r="121">
      <c r="A121" s="11" t="inlineStr">
        <is>
          <t>2271-72-LE26</t>
        </is>
      </c>
      <c r="B121" s="13" t="inlineStr">
        <is>
          <t>Provisión Instalación y Habilitación de Modulares</t>
        </is>
      </c>
      <c r="C121" s="11" t="n">
        <v>10</v>
      </c>
      <c r="D121" s="13" t="inlineStr">
        <is>
          <t>score 10 &lt; 30</t>
        </is>
      </c>
    </row>
    <row r="122">
      <c r="A122" s="11" t="inlineStr">
        <is>
          <t>2295-98-LP26</t>
        </is>
      </c>
      <c r="B122" s="13" t="inlineStr">
        <is>
          <t>CONVENIO DE SUMINISTRO DE AUDIFONOS PARA EL PROGRAMA DE RESOLUTIVIDAD UAPORRINO DEPARTAMENTO DE SALUD TALCA</t>
        </is>
      </c>
      <c r="C122" s="11" t="n">
        <v>5</v>
      </c>
      <c r="D122" s="13" t="inlineStr">
        <is>
          <t>solo mencion de inmueble, sin servicio inmobiliario</t>
        </is>
      </c>
    </row>
    <row r="123">
      <c r="A123" s="11" t="inlineStr">
        <is>
          <t>2306-32-LE26</t>
        </is>
      </c>
      <c r="B123" s="13" t="inlineStr">
        <is>
          <t>HABILITACION SALA DE MUSICA LICEO RAHUE OSORNO</t>
        </is>
      </c>
      <c r="C123" s="11" t="n">
        <v>0</v>
      </c>
      <c r="D123" s="13" t="inlineStr">
        <is>
          <t>score 0 &lt; 30</t>
        </is>
      </c>
    </row>
    <row r="124">
      <c r="A124" s="11" t="inlineStr">
        <is>
          <t>2319-20-LE26</t>
        </is>
      </c>
      <c r="B124" s="13" t="inlineStr">
        <is>
          <t>NORMALIZACIÓN DEPENDENCIAS</t>
        </is>
      </c>
      <c r="C124" s="11" t="n">
        <v>8</v>
      </c>
      <c r="D124" s="13" t="inlineStr">
        <is>
          <t>solo mencion de inmueble, sin servicio inmobiliario</t>
        </is>
      </c>
    </row>
    <row r="125">
      <c r="A125" s="11" t="inlineStr">
        <is>
          <t>2322-90-LR26</t>
        </is>
      </c>
      <c r="B125" s="13" t="inlineStr">
        <is>
          <t xml:space="preserve">Ampliación y Mejoramiento de Sede y Multicancha  Sector Las Terrazas </t>
        </is>
      </c>
      <c r="C125" s="11" t="n">
        <v>8</v>
      </c>
      <c r="D125" s="13" t="inlineStr">
        <is>
          <t>solo mencion de inmueble, sin servicio inmobiliario</t>
        </is>
      </c>
    </row>
    <row r="126">
      <c r="A126" s="11" t="inlineStr">
        <is>
          <t>2324-115-LE26</t>
        </is>
      </c>
      <c r="B126" s="13" t="inlineStr">
        <is>
          <t>LICITACIÓN PÚBLICA N° 96 2026 SERVICIO PLAN DE MANTENCIÓN SISTEMA DE CALEFACCIÓN Y SISTEMA DE RED DE INCENDIO CASA PAULY – DIRECCIÓN DE OPERACIONES</t>
        </is>
      </c>
      <c r="C126" s="11" t="n">
        <v>5</v>
      </c>
      <c r="D126" s="13" t="inlineStr">
        <is>
          <t>solo mencion de inmueble, sin servicio inmobiliario</t>
        </is>
      </c>
    </row>
    <row r="127">
      <c r="A127" s="11" t="inlineStr">
        <is>
          <t>2324-118-LP26</t>
        </is>
      </c>
      <c r="B127" s="13" t="inlineStr">
        <is>
          <t>LICITACIÓN PÚBLICA N°532026 SERVICIO DE MANTENCIÓN DE ALUMBRADO PÚBLICO PERIODO 2026 DEPARTAMENTO ELÉCTRICO MUNICIPALIDAD DE PUERTO MONTT</t>
        </is>
      </c>
      <c r="C127" s="11" t="n">
        <v>5</v>
      </c>
      <c r="D127" s="13" t="inlineStr">
        <is>
          <t>solo mencion de inmueble, sin servicio inmobiliario</t>
        </is>
      </c>
    </row>
    <row r="128">
      <c r="A128" s="11" t="inlineStr">
        <is>
          <t>2332-65-LE26</t>
        </is>
      </c>
      <c r="B128" s="13" t="inlineStr">
        <is>
          <t>ADQUISICIÓN DE ORTOPANTOMÓGRAFO DIGITAL Y CBCT 3D PARA EL DEPARTAMENTO DE SALUD MUNICIPAL DE PUERTO MONTT</t>
        </is>
      </c>
      <c r="C128" s="11" t="n">
        <v>5</v>
      </c>
      <c r="D128" s="13" t="inlineStr">
        <is>
          <t>solo mencion de inmueble, sin servicio inmobiliario</t>
        </is>
      </c>
    </row>
    <row r="129">
      <c r="A129" s="11" t="inlineStr">
        <is>
          <t>2342-36-LR26</t>
        </is>
      </c>
      <c r="B129" s="13" t="inlineStr">
        <is>
          <t>CONCESIÓN DE ESTACIONAMIENTOS EN CALLES DE LA ZONA CENTRO DE LA COMUNA DE SAN BERNARDO APLICANDO SISTEMA DE CONTROL DE TIEMPO DE USO CAPTADORES DE DATOS</t>
        </is>
      </c>
      <c r="C129" s="11" t="n">
        <v>5</v>
      </c>
      <c r="D129" s="13" t="inlineStr">
        <is>
          <t>solo mencion de inmueble, sin servicio inmobiliario</t>
        </is>
      </c>
    </row>
    <row r="130">
      <c r="A130" s="11" t="inlineStr">
        <is>
          <t>2343-31-LE26</t>
        </is>
      </c>
      <c r="B130" s="13" t="inlineStr">
        <is>
          <t>REMODELACION DE OFICINAS EN PARQUE O´HIGGINS</t>
        </is>
      </c>
      <c r="C130" s="11" t="n">
        <v>10</v>
      </c>
      <c r="D130" s="13" t="inlineStr">
        <is>
          <t>solo mencion de inmueble, sin servicio inmobiliario</t>
        </is>
      </c>
    </row>
    <row r="131">
      <c r="A131" s="11" t="inlineStr">
        <is>
          <t>2345-117-LP26</t>
        </is>
      </c>
      <c r="B131" s="13" t="inlineStr">
        <is>
          <t>ARRIENDO Y MANTENCIÓN DE EQUIPOS PSICOTÉCNICOS Y SENSOMÉTRICOS PARA LA MUNICIPALIDAD DE LAS CONDES</t>
        </is>
      </c>
      <c r="C131" s="11" t="n">
        <v>14</v>
      </c>
      <c r="D131" s="13" t="inlineStr">
        <is>
          <t>score 14 &lt; 30</t>
        </is>
      </c>
    </row>
    <row r="132">
      <c r="A132" s="11" t="inlineStr">
        <is>
          <t>2345-139-LR26</t>
        </is>
      </c>
      <c r="B132" s="13" t="inlineStr">
        <is>
          <t>Mantención Preventiva y Correctiva Reparaciones Mejoras y Urgencias de los Sistemas Eléctricos en los Inmuebles</t>
        </is>
      </c>
      <c r="C132" s="11" t="n">
        <v>14</v>
      </c>
      <c r="D132" s="13" t="inlineStr">
        <is>
          <t>solo mencion de inmueble, sin servicio inmobiliario</t>
        </is>
      </c>
    </row>
    <row r="133">
      <c r="A133" s="11" t="inlineStr">
        <is>
          <t>2345-159-LR26</t>
        </is>
      </c>
      <c r="B133" s="13" t="inlineStr">
        <is>
          <t>Arriendo de Oficinas Modulares para el Proceso de Renovación de Permisos de Circulación para los años 2027-2029</t>
        </is>
      </c>
      <c r="C133" s="11" t="n">
        <v>22</v>
      </c>
      <c r="D133" s="13" t="inlineStr">
        <is>
          <t>score 22 &lt; 30</t>
        </is>
      </c>
    </row>
    <row r="134">
      <c r="A134" s="11" t="inlineStr">
        <is>
          <t>2378-110-LP26</t>
        </is>
      </c>
      <c r="B134" s="13" t="inlineStr">
        <is>
          <t>ARRIENDO YO  MANTENCIÓN DE BAÑOS QUIMICOS</t>
        </is>
      </c>
      <c r="C134" s="11" t="n">
        <v>0</v>
      </c>
      <c r="D134" s="13" t="inlineStr">
        <is>
          <t>score 0 &lt; 30</t>
        </is>
      </c>
    </row>
    <row r="135">
      <c r="A135" s="11" t="inlineStr">
        <is>
          <t>2405-108-LR26</t>
        </is>
      </c>
      <c r="B135" s="13" t="inlineStr">
        <is>
          <t>HABILITACION Y URBANIZACION LOTEO ALTOS</t>
        </is>
      </c>
      <c r="C135" s="11" t="n">
        <v>6</v>
      </c>
      <c r="D135" s="13" t="inlineStr">
        <is>
          <t>score 6 &lt; 30</t>
        </is>
      </c>
    </row>
    <row r="136">
      <c r="A136" s="11" t="inlineStr">
        <is>
          <t>2408-242-L126</t>
        </is>
      </c>
      <c r="B136" s="13" t="inlineStr">
        <is>
          <t>ADQUISICIÓN DE ARTÍCULOS VARIOS PARA CABAÑAS RECINTO CHACAY</t>
        </is>
      </c>
      <c r="C136" s="11" t="n">
        <v>5</v>
      </c>
      <c r="D136" s="13" t="inlineStr">
        <is>
          <t>solo mencion de inmueble, sin servicio inmobiliario</t>
        </is>
      </c>
    </row>
    <row r="137">
      <c r="A137" s="11" t="inlineStr">
        <is>
          <t>2409-94-LE26</t>
        </is>
      </c>
      <c r="B137" s="13" t="inlineStr">
        <is>
          <t>ADQ. DE MATERIALES DE MANTENIMIENTO Y REPARACIÓN DE INMUEBLES DE ESTABLECIMIENTOS EDUCACIONALES DE LOS ÁNGELES</t>
        </is>
      </c>
      <c r="C137" s="11" t="n">
        <v>14</v>
      </c>
      <c r="D137" s="13" t="inlineStr">
        <is>
          <t>solo mencion de inmueble, sin servicio inmobiliario</t>
        </is>
      </c>
    </row>
    <row r="138">
      <c r="A138" s="11" t="inlineStr">
        <is>
          <t>2409-99-L126</t>
        </is>
      </c>
      <c r="B138" s="13" t="inlineStr">
        <is>
          <t>SERVICIO TRASLADO ALUMNOS TALLER EXTRAESCOLAR Y JORNADAS REFLEXION, ESCUELA D-870</t>
        </is>
      </c>
      <c r="C138" s="11" t="n">
        <v>0</v>
      </c>
      <c r="D138" s="13" t="inlineStr">
        <is>
          <t>score 0 &lt; 30</t>
        </is>
      </c>
    </row>
    <row r="139">
      <c r="A139" s="11" t="inlineStr">
        <is>
          <t>2423-66-LE26</t>
        </is>
      </c>
      <c r="B139" s="13" t="inlineStr">
        <is>
          <t>ARRIENDO DE DISPOSITIVOS DE GEOLOCALIZACIÓN</t>
        </is>
      </c>
      <c r="C139" s="11" t="n">
        <v>0</v>
      </c>
      <c r="D139" s="13" t="inlineStr">
        <is>
          <t>score 0 &lt; 30</t>
        </is>
      </c>
    </row>
    <row r="140">
      <c r="A140" s="11" t="inlineStr">
        <is>
          <t>2429-8-LP26</t>
        </is>
      </c>
      <c r="B140" s="13" t="inlineStr">
        <is>
          <t>RENOVACIÓN DE INFRAESTRUCTURA DE RED INFORMÁTICA Y NORMALIZACIÓN DE CABLEADO ESTRUCTURADO DE LAS DEPENDENCIAS DE LA IMA</t>
        </is>
      </c>
      <c r="C140" s="11" t="n">
        <v>8</v>
      </c>
      <c r="D140" s="13" t="inlineStr">
        <is>
          <t>solo mencion de inmueble, sin servicio inmobiliario</t>
        </is>
      </c>
    </row>
    <row r="141">
      <c r="A141" s="11" t="inlineStr">
        <is>
          <t>2430-68-LR26</t>
        </is>
      </c>
      <c r="B141" s="13" t="inlineStr">
        <is>
          <t>MEJORAMIENTO INTEGRAL PLAZA SOTOMAYOR Y LOCALES COMERCIALES COMUNA DE ANTOFAGASTA</t>
        </is>
      </c>
      <c r="C141" s="11" t="n">
        <v>10</v>
      </c>
      <c r="D141" s="13" t="inlineStr">
        <is>
          <t>solo mencion de inmueble, sin servicio inmobiliario</t>
        </is>
      </c>
    </row>
    <row r="142">
      <c r="A142" s="11" t="inlineStr">
        <is>
          <t>2430-78-LP26</t>
        </is>
      </c>
      <c r="B142" s="13" t="inlineStr">
        <is>
          <t>CONSERVACIÓN SEDE SOCIAL RUBÉN INFANTA ANTOFAGASTA CÓDIGO BIP N°40073072-0</t>
        </is>
      </c>
      <c r="C142" s="11" t="n">
        <v>8</v>
      </c>
      <c r="D142" s="13" t="inlineStr">
        <is>
          <t>solo mencion de inmueble, sin servicio inmobiliario</t>
        </is>
      </c>
    </row>
    <row r="143">
      <c r="A143" s="11" t="inlineStr">
        <is>
          <t>2432-28-LE26</t>
        </is>
      </c>
      <c r="B143" s="13" t="inlineStr">
        <is>
          <t>ARRIENDO DE INMUEBLE DESTINADO A BODEGA MUNICIPAL</t>
        </is>
      </c>
      <c r="C143" s="11" t="n">
        <v>26</v>
      </c>
      <c r="D143" s="13" t="inlineStr">
        <is>
          <t>score 26 &lt; 30</t>
        </is>
      </c>
    </row>
    <row r="144">
      <c r="A144" s="11" t="inlineStr">
        <is>
          <t>2436-38-LE26</t>
        </is>
      </c>
      <c r="B144" s="13" t="inlineStr">
        <is>
          <t>Servicio de limpieza y mantencion de colectores de aguas lluvias en la vía publica alcantarillados de recintos municipales y otros</t>
        </is>
      </c>
      <c r="C144" s="11" t="n">
        <v>5</v>
      </c>
      <c r="D144" s="13" t="inlineStr">
        <is>
          <t>solo mencion de inmueble, sin servicio inmobiliario</t>
        </is>
      </c>
    </row>
    <row r="145">
      <c r="A145" s="11" t="inlineStr">
        <is>
          <t>2440-61-LE26</t>
        </is>
      </c>
      <c r="B145" s="13" t="inlineStr">
        <is>
          <t>Mejoramiento y Habilitación e Implementación de Patio de Educación Parvulario para el Establecimiento Educacional Escuela Padre Alberto Hurtado de Curicó</t>
        </is>
      </c>
      <c r="C145" s="11" t="n">
        <v>8</v>
      </c>
      <c r="D145" s="13" t="inlineStr">
        <is>
          <t>score 8 &lt; 30</t>
        </is>
      </c>
    </row>
    <row r="146">
      <c r="A146" s="11" t="inlineStr">
        <is>
          <t>2446-260-LR26</t>
        </is>
      </c>
      <c r="B146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46" s="11" t="n">
        <v>8</v>
      </c>
      <c r="D146" s="13" t="inlineStr">
        <is>
          <t>solo mencion de inmueble, sin servicio inmobiliario</t>
        </is>
      </c>
    </row>
    <row r="147">
      <c r="A147" s="11" t="inlineStr">
        <is>
          <t>2446-271-LR26</t>
        </is>
      </c>
      <c r="B147" s="13" t="inlineStr">
        <is>
          <t>REHABILITACION CASA DE LA CULTURA</t>
        </is>
      </c>
      <c r="C147" s="11" t="n">
        <v>11</v>
      </c>
      <c r="D147" s="13" t="inlineStr">
        <is>
          <t>score 11 &lt; 30</t>
        </is>
      </c>
    </row>
    <row r="148">
      <c r="A148" s="11" t="inlineStr">
        <is>
          <t>2446-286-LP26</t>
        </is>
      </c>
      <c r="B148" s="13" t="inlineStr">
        <is>
          <t>REPOSICIÓN SEDE COMUNITARIA EL OLIVAR COQUIMBO 2</t>
        </is>
      </c>
      <c r="C148" s="11" t="n">
        <v>11</v>
      </c>
      <c r="D148" s="13" t="inlineStr">
        <is>
          <t>score 11 &lt; 30</t>
        </is>
      </c>
    </row>
    <row r="149">
      <c r="A149" s="11" t="inlineStr">
        <is>
          <t>2483-240-LP26</t>
        </is>
      </c>
      <c r="B149" s="13" t="inlineStr">
        <is>
          <t>SUMINISTRO DE MATERIALES DE OFICINA PARA DEPARTAMENTO Y CENTROS DE SALUD MUNICIPALIDAD DE QUILICURA NUEVO LLAMADO</t>
        </is>
      </c>
      <c r="C149" s="11" t="n">
        <v>10</v>
      </c>
      <c r="D149" s="13" t="inlineStr">
        <is>
          <t>solo mencion de inmueble, sin servicio inmobiliario</t>
        </is>
      </c>
    </row>
    <row r="150">
      <c r="A150" s="11" t="inlineStr">
        <is>
          <t>2490-90-LR26</t>
        </is>
      </c>
      <c r="B150" s="13" t="inlineStr">
        <is>
          <t>ARRIENDO DE FLOTA VEHICULAR PARA LA MUNICIPALIDAD DE PROVIDENCIA.</t>
        </is>
      </c>
      <c r="C150" s="11" t="n">
        <v>16</v>
      </c>
      <c r="D150" s="13" t="inlineStr">
        <is>
          <t>score 16 &lt; 30</t>
        </is>
      </c>
    </row>
    <row r="151">
      <c r="A151" s="11" t="inlineStr">
        <is>
          <t>2591-106-LR26</t>
        </is>
      </c>
      <c r="B151" s="13" t="inlineStr">
        <is>
          <t>REPOSICION OFICINA SRCEI POZO ALMONTE</t>
        </is>
      </c>
      <c r="C151" s="11" t="n">
        <v>10</v>
      </c>
      <c r="D151" s="13" t="inlineStr">
        <is>
          <t>solo mencion de inmueble, sin servicio inmobiliario</t>
        </is>
      </c>
    </row>
    <row r="152">
      <c r="A152" s="11" t="inlineStr">
        <is>
          <t>2591-178-CO26</t>
        </is>
      </c>
      <c r="B152" s="13" t="inlineStr">
        <is>
          <t>SS MEJORAMIENTO Y REMODELACION DE LA BODEGA</t>
        </is>
      </c>
      <c r="C152" s="11" t="n">
        <v>7</v>
      </c>
      <c r="D152" s="13" t="inlineStr">
        <is>
          <t>solo mencion de inmueble, sin servicio inmobiliario</t>
        </is>
      </c>
    </row>
    <row r="153">
      <c r="A153" s="11" t="inlineStr">
        <is>
          <t>2600-29-LE26</t>
        </is>
      </c>
      <c r="B153" s="13" t="inlineStr">
        <is>
          <t>Const. accesibilidad universal Edificio Municipal</t>
        </is>
      </c>
      <c r="C153" s="11" t="n">
        <v>8</v>
      </c>
      <c r="D153" s="13" t="inlineStr">
        <is>
          <t>solo mencion de inmueble, sin servicio inmobiliario</t>
        </is>
      </c>
    </row>
    <row r="154">
      <c r="A154" s="11" t="inlineStr">
        <is>
          <t>2627-18-LR26</t>
        </is>
      </c>
      <c r="B154" s="13" t="inlineStr">
        <is>
          <t>MEJORAMIENTO RECINTO CLUB DEPORTIVO INTERSPORTING</t>
        </is>
      </c>
      <c r="C154" s="11" t="n">
        <v>5</v>
      </c>
      <c r="D154" s="13" t="inlineStr">
        <is>
          <t>solo mencion de inmueble, sin servicio inmobiliario</t>
        </is>
      </c>
    </row>
    <row r="155">
      <c r="A155" s="11" t="inlineStr">
        <is>
          <t>2667-39-LR26</t>
        </is>
      </c>
      <c r="B155" s="13" t="inlineStr">
        <is>
          <t>CONSTRUCCIÓN NUEVO EDIFICIO 37° COMISARIA DE VITACURA</t>
        </is>
      </c>
      <c r="C155" s="11" t="n">
        <v>11</v>
      </c>
      <c r="D155" s="13" t="inlineStr">
        <is>
          <t>score 11 &lt; 30</t>
        </is>
      </c>
    </row>
    <row r="156">
      <c r="A156" s="11" t="inlineStr">
        <is>
          <t>2667-71-LR26</t>
        </is>
      </c>
      <c r="B156" s="13" t="inlineStr">
        <is>
          <t>ARRIENDO SOPORTE Y MANTENCIÓN DE CENTRAL TELEFONICA IP TELEFONOS IP Y PLATAFORMA DE CONTACT CENTER</t>
        </is>
      </c>
      <c r="C156" s="11" t="n">
        <v>16</v>
      </c>
      <c r="D156" s="13" t="inlineStr">
        <is>
          <t>score 16 &lt; 30</t>
        </is>
      </c>
    </row>
    <row r="157">
      <c r="A157" s="11" t="inlineStr">
        <is>
          <t>2674-42-LE26</t>
        </is>
      </c>
      <c r="B157" s="13" t="inlineStr">
        <is>
          <t>MATERIALES Y ARRIENDO EQUIPOS PUENTE VILLA ALEGRE</t>
        </is>
      </c>
      <c r="C157" s="11" t="n">
        <v>6</v>
      </c>
      <c r="D157" s="13" t="inlineStr">
        <is>
          <t>score 6 &lt; 30</t>
        </is>
      </c>
    </row>
    <row r="158">
      <c r="A158" s="11" t="inlineStr">
        <is>
          <t>2674-44-LE26</t>
        </is>
      </c>
      <c r="B158" s="13" t="inlineStr">
        <is>
          <t>ARRIENDO EQUIPO DE GABINETE PSICOTECNICO</t>
        </is>
      </c>
      <c r="C158" s="11" t="n">
        <v>0</v>
      </c>
      <c r="D158" s="13" t="inlineStr">
        <is>
          <t>score 0 &lt; 30</t>
        </is>
      </c>
    </row>
    <row r="159">
      <c r="A159" s="11" t="inlineStr">
        <is>
          <t>2675-114-LP26</t>
        </is>
      </c>
      <c r="B159" s="13" t="inlineStr">
        <is>
          <t>MEJORAMIENTO CUBIERTAS SEDES VECINALES VILLA LOS ANGELES AVENIDA EL RINCON Y RENACER DE PICARQUIN MOSTAZAL</t>
        </is>
      </c>
      <c r="C159" s="11" t="n">
        <v>8</v>
      </c>
      <c r="D159" s="13" t="inlineStr">
        <is>
          <t>solo mencion de inmueble, sin servicio inmobiliario</t>
        </is>
      </c>
    </row>
    <row r="160">
      <c r="A160" s="11" t="inlineStr">
        <is>
          <t>2687-16-CO26</t>
        </is>
      </c>
      <c r="B160" s="13" t="inlineStr">
        <is>
          <t>REPOSICIÓN DE VENTANAS TERMOPANEL ESCUELA BÁSICA RURAL EL YECO</t>
        </is>
      </c>
      <c r="C160" s="11" t="n">
        <v>8</v>
      </c>
      <c r="D160" s="13" t="inlineStr">
        <is>
          <t>score 8 &lt; 30</t>
        </is>
      </c>
    </row>
    <row r="161">
      <c r="A161" s="11" t="inlineStr">
        <is>
          <t>2702-66-LE26</t>
        </is>
      </c>
      <c r="B161" s="13" t="inlineStr">
        <is>
          <t>Arriendo árboles de navidad Talagante 2026</t>
        </is>
      </c>
      <c r="C161" s="11" t="n">
        <v>0</v>
      </c>
      <c r="D161" s="13" t="inlineStr">
        <is>
          <t>score 0 &lt; 30</t>
        </is>
      </c>
    </row>
    <row r="162">
      <c r="A162" s="11" t="inlineStr">
        <is>
          <t>2705-56-LE26</t>
        </is>
      </c>
      <c r="B162" s="13" t="inlineStr">
        <is>
          <t>HABILITACIÓN LABORATORIODE DINÁMICA VASCULAR Y MODELAMIENTO  BIOMÉDICO  UNIVERSIDAD  DEL  BÍO-BÍO SEDE CHILLÁN</t>
        </is>
      </c>
      <c r="C162" s="11" t="n">
        <v>14</v>
      </c>
      <c r="D162" s="13" t="inlineStr">
        <is>
          <t>score 14 &lt; 30</t>
        </is>
      </c>
    </row>
    <row r="163">
      <c r="A163" s="11" t="inlineStr">
        <is>
          <t>2723-61-LR26</t>
        </is>
      </c>
      <c r="B163" s="13" t="inlineStr">
        <is>
          <t>Concesión Estacionamientos Calles Comuna de Buin</t>
        </is>
      </c>
      <c r="C163" s="11" t="n">
        <v>5</v>
      </c>
      <c r="D163" s="13" t="inlineStr">
        <is>
          <t>solo mencion de inmueble, sin servicio inmobiliario</t>
        </is>
      </c>
    </row>
    <row r="164">
      <c r="A164" s="11" t="inlineStr">
        <is>
          <t>2724-44-LE26</t>
        </is>
      </c>
      <c r="B164" s="13" t="inlineStr">
        <is>
          <t>Expo Juvenil y Casa Abierta San Carlos 2026</t>
        </is>
      </c>
      <c r="C164" s="11" t="n">
        <v>5</v>
      </c>
      <c r="D164" s="13" t="inlineStr">
        <is>
          <t>solo mencion de inmueble, sin servicio inmobiliario</t>
        </is>
      </c>
    </row>
    <row r="165">
      <c r="A165" s="11" t="inlineStr">
        <is>
          <t>2732-34-LP26</t>
        </is>
      </c>
      <c r="B165" s="13" t="inlineStr">
        <is>
          <t>Serv. Arriendo de Baños Químicos Ferias Libres</t>
        </is>
      </c>
      <c r="C165" s="11" t="n">
        <v>0</v>
      </c>
      <c r="D165" s="13" t="inlineStr">
        <is>
          <t>score 0 &lt; 30</t>
        </is>
      </c>
    </row>
    <row r="166">
      <c r="A166" s="11" t="inlineStr">
        <is>
          <t>2741-65-LE26</t>
        </is>
      </c>
      <c r="B166" s="13" t="inlineStr">
        <is>
          <t>AMPLIACION SEDE COMUNITARIA HACIENDA QUILPUE</t>
        </is>
      </c>
      <c r="C166" s="11" t="n">
        <v>8</v>
      </c>
      <c r="D166" s="13" t="inlineStr">
        <is>
          <t>solo mencion de inmueble, sin servicio inmobiliario</t>
        </is>
      </c>
    </row>
    <row r="167">
      <c r="A167" s="11" t="inlineStr">
        <is>
          <t>2760-112-LE26</t>
        </is>
      </c>
      <c r="B167" s="13" t="inlineStr">
        <is>
          <t>REPARACION DE CUBIERTA Y HABILITACIÓN DE OFICINAS DE LA DIRECCIÓN DE SEGURIDAD PÚBLICA</t>
        </is>
      </c>
      <c r="C167" s="11" t="n">
        <v>16</v>
      </c>
      <c r="D167" s="13" t="inlineStr">
        <is>
          <t>score 16 &lt; 30</t>
        </is>
      </c>
    </row>
    <row r="168">
      <c r="A168" s="11" t="inlineStr">
        <is>
          <t>2770-141-LR26</t>
        </is>
      </c>
      <c r="B168" s="13" t="inlineStr">
        <is>
          <t>CONTRATACIÓN DE SERVICIO DE CONSULTORÍA DE DISEÑO: PROYECTO DE ARQUITECTURA ESTRUCTURAS Y ESPECIALIDADES EDIFICIO DE SERVICIOS DE LA ILUSTRE MUNICIPALIDAD DE MAIPÚ</t>
        </is>
      </c>
      <c r="C168" s="11" t="n">
        <v>20</v>
      </c>
      <c r="D168" s="13" t="inlineStr">
        <is>
          <t>score 20 &lt; 30</t>
        </is>
      </c>
    </row>
    <row r="169">
      <c r="A169" s="11" t="inlineStr">
        <is>
          <t>2772-23-LE26</t>
        </is>
      </c>
      <c r="B169" s="13" t="inlineStr">
        <is>
          <t>HABILITACION CENTRAL DE MONITOREO CHIGUAYANTE.</t>
        </is>
      </c>
      <c r="C169" s="11" t="n">
        <v>10</v>
      </c>
      <c r="D169" s="13" t="inlineStr">
        <is>
          <t>score 10 &lt; 30</t>
        </is>
      </c>
    </row>
    <row r="170">
      <c r="A170" s="11" t="inlineStr">
        <is>
          <t>2772-25-LE26</t>
        </is>
      </c>
      <c r="B170" s="13" t="inlineStr">
        <is>
          <t>MECANICA DE SUELOS EDIFICIO CONSISTORIAL</t>
        </is>
      </c>
      <c r="C170" s="11" t="n">
        <v>10</v>
      </c>
      <c r="D170" s="13" t="inlineStr">
        <is>
          <t>score 10 &lt; 30</t>
        </is>
      </c>
    </row>
    <row r="171">
      <c r="A171" s="11" t="inlineStr">
        <is>
          <t>2794-22-LR26</t>
        </is>
      </c>
      <c r="B171" s="13" t="inlineStr">
        <is>
          <t>Adquisicion de Terreno para Medio Ambiente L.A.</t>
        </is>
      </c>
      <c r="C171" s="11" t="n">
        <v>9</v>
      </c>
      <c r="D171" s="13" t="inlineStr">
        <is>
          <t>solo mencion de inmueble, sin servicio inmobiliario</t>
        </is>
      </c>
    </row>
    <row r="172">
      <c r="A172" s="11" t="inlineStr">
        <is>
          <t>2794-23-LP26</t>
        </is>
      </c>
      <c r="B172" s="13" t="inlineStr">
        <is>
          <t>Construccion Sede Social Bejares Los Andes</t>
        </is>
      </c>
      <c r="C172" s="11" t="n">
        <v>8</v>
      </c>
      <c r="D172" s="13" t="inlineStr">
        <is>
          <t>solo mencion de inmueble, sin servicio inmobiliario</t>
        </is>
      </c>
    </row>
    <row r="173">
      <c r="A173" s="11" t="inlineStr">
        <is>
          <t>2832-32-LE26</t>
        </is>
      </c>
      <c r="B173" s="13" t="inlineStr">
        <is>
          <t>Segundo llamado a Licitación Pública para Ctto. de Suministro Oxígeno Domiciliario Departamento de Salud Quillota</t>
        </is>
      </c>
      <c r="C173" s="11" t="n">
        <v>5</v>
      </c>
      <c r="D173" s="13" t="inlineStr">
        <is>
          <t>solo mencion de inmueble, sin servicio inmobiliario</t>
        </is>
      </c>
    </row>
    <row r="174">
      <c r="A174" s="11" t="inlineStr">
        <is>
          <t>2852-60-LE26</t>
        </is>
      </c>
      <c r="B174" s="13" t="inlineStr">
        <is>
          <t>ADQUISICIÓN DE 2 CONTEINER DE BODEGAJE DIRECCIÓN DE OBRAS MUNICIPALES</t>
        </is>
      </c>
      <c r="C174" s="11" t="n">
        <v>7</v>
      </c>
      <c r="D174" s="13" t="inlineStr">
        <is>
          <t>solo mencion de inmueble, sin servicio inmobiliario</t>
        </is>
      </c>
    </row>
    <row r="175">
      <c r="A175" s="11" t="inlineStr">
        <is>
          <t>2889-7-LE26</t>
        </is>
      </c>
      <c r="B175" s="13" t="inlineStr">
        <is>
          <t>REMODELACIÓN VRIP HABILITACIÓN DE AUDITORIO</t>
        </is>
      </c>
      <c r="C175" s="11" t="n">
        <v>10</v>
      </c>
      <c r="D175" s="13" t="inlineStr">
        <is>
          <t>score 10 &lt; 30</t>
        </is>
      </c>
    </row>
    <row r="176">
      <c r="A176" s="11" t="inlineStr">
        <is>
          <t>2997-58-LE26</t>
        </is>
      </c>
      <c r="B176" s="13" t="inlineStr">
        <is>
          <t>Habilitación Espacio Deportivo Chañaral alto</t>
        </is>
      </c>
      <c r="C176" s="11" t="n">
        <v>8</v>
      </c>
      <c r="D176" s="13" t="inlineStr">
        <is>
          <t>score 8 &lt; 30</t>
        </is>
      </c>
    </row>
    <row r="177">
      <c r="A177" s="11" t="inlineStr">
        <is>
          <t>3015-49-L126</t>
        </is>
      </c>
      <c r="B177" s="13" t="inlineStr">
        <is>
          <t>DISEÑO PROYECTO ELÉCTRICO EDIFICIO CONSISTORIAL</t>
        </is>
      </c>
      <c r="C177" s="11" t="n">
        <v>14</v>
      </c>
      <c r="D177" s="13" t="inlineStr">
        <is>
          <t>score 14 &lt; 30</t>
        </is>
      </c>
    </row>
    <row r="178">
      <c r="A178" s="11" t="inlineStr">
        <is>
          <t>3015-56-LP26</t>
        </is>
      </c>
      <c r="B178" s="13" t="inlineStr">
        <is>
          <t>MEJ ACCESIBILIDAD Y ENTORNO SEDE SOCIAL TERRAVIDA</t>
        </is>
      </c>
      <c r="C178" s="11" t="n">
        <v>8</v>
      </c>
      <c r="D178" s="13" t="inlineStr">
        <is>
          <t>solo mencion de inmueble, sin servicio inmobiliario</t>
        </is>
      </c>
    </row>
    <row r="179">
      <c r="A179" s="11" t="inlineStr">
        <is>
          <t>3085-69-L126</t>
        </is>
      </c>
      <c r="B179" s="13" t="inlineStr">
        <is>
          <t>PROVISIÓN E INSTALACIÓN DE PUERTAS DE ALUMINIO Y VENTANAL FIJO ACCESO LOGIA A DOS VIVIENDAS FISCALES.</t>
        </is>
      </c>
      <c r="C179" s="11" t="n">
        <v>0</v>
      </c>
      <c r="D179" s="13" t="inlineStr">
        <is>
          <t>score 0 &lt; 30</t>
        </is>
      </c>
    </row>
    <row r="180">
      <c r="A180" s="11" t="inlineStr">
        <is>
          <t>3092-22-L126</t>
        </is>
      </c>
      <c r="B180" s="13" t="inlineStr">
        <is>
          <t>“ADQUISICIÓN DE FÁRMACOS OFTALMOLOGICO DESTINADOS A PACIENTES DEL PROGRAMA RESOLUTIVIDAD – COMPONENTE  ATENCIÓN PRIMARIA OFTALMOLOGICA  DE LA DIRECCIÓN DE SALUD  DE LA I. MUNICIPALIDAD DE CASABLANCA</t>
        </is>
      </c>
      <c r="C180" s="11" t="n">
        <v>5</v>
      </c>
      <c r="D180" s="13" t="inlineStr">
        <is>
          <t>solo mencion de inmueble, sin servicio inmobiliario</t>
        </is>
      </c>
    </row>
    <row r="181">
      <c r="A181" s="11" t="inlineStr">
        <is>
          <t>3117-95-LE26</t>
        </is>
      </c>
      <c r="B181" s="13" t="inlineStr">
        <is>
          <t>PRODUCTOS QUÍMICOS Y ASISTENCIA EN TERRENO</t>
        </is>
      </c>
      <c r="C181" s="11" t="n">
        <v>9</v>
      </c>
      <c r="D181" s="13" t="inlineStr">
        <is>
          <t>solo mencion de inmueble, sin servicio inmobiliario</t>
        </is>
      </c>
    </row>
    <row r="182">
      <c r="A182" s="11" t="inlineStr">
        <is>
          <t>3117-98-LE26</t>
        </is>
      </c>
      <c r="B182" s="13" t="inlineStr">
        <is>
          <t>OFICINA Y BODEGA MODULAR</t>
        </is>
      </c>
      <c r="C182" s="11" t="n">
        <v>10</v>
      </c>
      <c r="D182" s="13" t="inlineStr">
        <is>
          <t>solo mencion de inmueble, sin servicio inmobiliario</t>
        </is>
      </c>
    </row>
    <row r="183">
      <c r="A183" s="11" t="inlineStr">
        <is>
          <t>3132-35-LE26</t>
        </is>
      </c>
      <c r="B183" s="13" t="inlineStr">
        <is>
          <t>SERVICIO DE REEMPLAZO VENTANALES</t>
        </is>
      </c>
      <c r="C183" s="11" t="n">
        <v>10</v>
      </c>
      <c r="D183" s="13" t="inlineStr">
        <is>
          <t>score 10 &lt; 30</t>
        </is>
      </c>
    </row>
    <row r="184">
      <c r="A184" s="11" t="inlineStr">
        <is>
          <t>3156-45-LE26</t>
        </is>
      </c>
      <c r="B184" s="13" t="inlineStr">
        <is>
          <t>NIVELACIÓN DE TERRENO PARA PROYECTO ESGRUM 2 A</t>
        </is>
      </c>
      <c r="C184" s="11" t="n">
        <v>9</v>
      </c>
      <c r="D184" s="13" t="inlineStr">
        <is>
          <t>solo mencion de inmueble, sin servicio inmobiliario</t>
        </is>
      </c>
    </row>
    <row r="185">
      <c r="A185" s="11" t="inlineStr">
        <is>
          <t>3160-4-LE26</t>
        </is>
      </c>
      <c r="B185" s="13" t="inlineStr">
        <is>
          <t>SERVICIO DE INSTALACIÓN DE TERMOPANEL EDIFICIO DIRECCIONES UNO</t>
        </is>
      </c>
      <c r="C185" s="11" t="n">
        <v>8</v>
      </c>
      <c r="D185" s="13" t="inlineStr">
        <is>
          <t>solo mencion de inmueble, sin servicio inmobiliario</t>
        </is>
      </c>
    </row>
    <row r="186">
      <c r="A186" s="11" t="inlineStr">
        <is>
          <t>3211-11-LP26</t>
        </is>
      </c>
      <c r="B186" s="13" t="inlineStr">
        <is>
          <t>CONSTRUCCCIÓN SEDE SOCIAL SAN JOSÉ Y JUEGOS INFANT</t>
        </is>
      </c>
      <c r="C186" s="11" t="n">
        <v>8</v>
      </c>
      <c r="D186" s="13" t="inlineStr">
        <is>
          <t>solo mencion de inmueble, sin servicio inmobiliario</t>
        </is>
      </c>
    </row>
    <row r="187">
      <c r="A187" s="11" t="inlineStr">
        <is>
          <t>3375-15-LP26</t>
        </is>
      </c>
      <c r="B187" s="13" t="inlineStr">
        <is>
          <t>Remodelación de dependencias AF-142</t>
        </is>
      </c>
      <c r="C187" s="11" t="n">
        <v>8</v>
      </c>
      <c r="D187" s="13" t="inlineStr">
        <is>
          <t>solo mencion de inmueble, sin servicio inmobiliario</t>
        </is>
      </c>
    </row>
    <row r="188">
      <c r="A188" s="11" t="inlineStr">
        <is>
          <t>3378-62-LP26</t>
        </is>
      </c>
      <c r="B188" s="13" t="inlineStr">
        <is>
          <t>LICITACIÓN PÚBLICA PARA USO DE ESPACIO FÍSICO DESTINADO PARA 13 MAQUINAS EXPENDEDORAS Y BODEGA EN EL HMS</t>
        </is>
      </c>
      <c r="C188" s="11" t="n">
        <v>7</v>
      </c>
      <c r="D188" s="13" t="inlineStr">
        <is>
          <t>solo mencion de inmueble, sin servicio inmobiliario</t>
        </is>
      </c>
    </row>
    <row r="189">
      <c r="A189" s="11" t="inlineStr">
        <is>
          <t>3453-87-LE26</t>
        </is>
      </c>
      <c r="B189" s="13" t="inlineStr">
        <is>
          <t>MANT. Y REP. DE TALLERES Y CASA TACTICA</t>
        </is>
      </c>
      <c r="C189" s="11" t="n">
        <v>5</v>
      </c>
      <c r="D189" s="13" t="inlineStr">
        <is>
          <t>solo mencion de inmueble, sin servicio inmobiliario</t>
        </is>
      </c>
    </row>
    <row r="190">
      <c r="A190" s="11" t="inlineStr">
        <is>
          <t>3477-84-LE26</t>
        </is>
      </c>
      <c r="B190" s="13" t="inlineStr">
        <is>
          <t>“CONSERVACIÓN EDIFICIOS MUNICIPALES: DEPARTAMENTO</t>
        </is>
      </c>
      <c r="C190" s="11" t="n">
        <v>8</v>
      </c>
      <c r="D190" s="13" t="inlineStr">
        <is>
          <t>solo mencion de inmueble, sin servicio inmobiliario</t>
        </is>
      </c>
    </row>
    <row r="191">
      <c r="A191" s="11" t="inlineStr">
        <is>
          <t>3477-87-LE26</t>
        </is>
      </c>
      <c r="B191" s="13" t="inlineStr">
        <is>
          <t>“AMPLIACIÓN SEDE LOS ALERCES DE GENERAL LÓPEZ COMUNA DE VILCÚN”</t>
        </is>
      </c>
      <c r="C191" s="11" t="n">
        <v>8</v>
      </c>
      <c r="D191" s="13" t="inlineStr">
        <is>
          <t>solo mencion de inmueble, sin servicio inmobiliario</t>
        </is>
      </c>
    </row>
    <row r="192">
      <c r="A192" s="11" t="inlineStr">
        <is>
          <t>3480-20-LE26</t>
        </is>
      </c>
      <c r="B192" s="13" t="inlineStr">
        <is>
          <t>Revestimiento exterior con metal siding y ventana</t>
        </is>
      </c>
      <c r="C192" s="11" t="n">
        <v>0</v>
      </c>
      <c r="D192" s="13" t="inlineStr">
        <is>
          <t>score 0 &lt; 30</t>
        </is>
      </c>
    </row>
    <row r="193">
      <c r="A193" s="11" t="inlineStr">
        <is>
          <t>3525-8-LR26</t>
        </is>
      </c>
      <c r="B193" s="13" t="inlineStr">
        <is>
          <t>Sum e instalación de taludes visita terreno volun</t>
        </is>
      </c>
      <c r="C193" s="11" t="n">
        <v>9</v>
      </c>
      <c r="D193" s="13" t="inlineStr">
        <is>
          <t>solo mencion de inmueble, sin servicio inmobiliario</t>
        </is>
      </c>
    </row>
    <row r="194">
      <c r="A194" s="11" t="inlineStr">
        <is>
          <t>3542-26-LE26</t>
        </is>
      </c>
      <c r="B194" s="13" t="inlineStr">
        <is>
          <t>SERVICIO DE REMODELACIÓN DE OFICINAS DEL TALLER DE MANTENIMIENTO</t>
        </is>
      </c>
      <c r="C194" s="11" t="n">
        <v>10</v>
      </c>
      <c r="D194" s="13" t="inlineStr">
        <is>
          <t>solo mencion de inmueble, sin servicio inmobiliario</t>
        </is>
      </c>
    </row>
    <row r="195">
      <c r="A195" s="11" t="inlineStr">
        <is>
          <t>3568-27-L126</t>
        </is>
      </c>
      <c r="B195" s="13" t="inlineStr">
        <is>
          <t>SERVICIO DE TRASLADO PROFESIONALES PROGRAMA DE RED LOCAL DE APOYO Y CUIDADOS</t>
        </is>
      </c>
      <c r="C195" s="11" t="n">
        <v>6</v>
      </c>
      <c r="D195" s="13" t="inlineStr">
        <is>
          <t>score 6 &lt; 30</t>
        </is>
      </c>
    </row>
    <row r="196">
      <c r="A196" s="11" t="inlineStr">
        <is>
          <t>3637-39-LE26</t>
        </is>
      </c>
      <c r="B196" s="13" t="inlineStr">
        <is>
          <t>CONSTRUCCION ESCENAS CULTURALES EDIFICIO MUNICIPAL</t>
        </is>
      </c>
      <c r="C196" s="11" t="n">
        <v>8</v>
      </c>
      <c r="D196" s="13" t="inlineStr">
        <is>
          <t>solo mencion de inmueble, sin servicio inmobiliario</t>
        </is>
      </c>
    </row>
    <row r="197">
      <c r="A197" s="11" t="inlineStr">
        <is>
          <t>3708-40-LE26</t>
        </is>
      </c>
      <c r="B197" s="13" t="inlineStr">
        <is>
          <t>HABILITACION OFICINAS TRANSITO OBRAS Y OTRAS</t>
        </is>
      </c>
      <c r="C197" s="11" t="n">
        <v>16</v>
      </c>
      <c r="D197" s="13" t="inlineStr">
        <is>
          <t>score 16 &lt; 30</t>
        </is>
      </c>
    </row>
    <row r="198">
      <c r="A198" s="11" t="inlineStr">
        <is>
          <t>3729-86-LE26</t>
        </is>
      </c>
      <c r="B198" s="13" t="inlineStr">
        <is>
          <t>ADQUISICIÓN DE EQUIPAMIENTO PARA BOX DE ATENCIÓN CLÍNICA DE DEPENDENCIAS DEL DEPARTAMENTO DE SALUD</t>
        </is>
      </c>
      <c r="C198" s="11" t="n">
        <v>8</v>
      </c>
      <c r="D198" s="13" t="inlineStr">
        <is>
          <t>solo mencion de inmueble, sin servicio inmobiliario</t>
        </is>
      </c>
    </row>
    <row r="199">
      <c r="A199" s="11" t="inlineStr">
        <is>
          <t>3764-52-LP26</t>
        </is>
      </c>
      <c r="B199" s="13" t="inlineStr">
        <is>
          <t>CONSTRUCCIÓN SEDE CLUB DEPORTIVO UNIÓN CUNACO</t>
        </is>
      </c>
      <c r="C199" s="11" t="n">
        <v>8</v>
      </c>
      <c r="D199" s="13" t="inlineStr">
        <is>
          <t>solo mencion de inmueble, sin servicio inmobiliario</t>
        </is>
      </c>
    </row>
    <row r="200">
      <c r="A200" s="11" t="inlineStr">
        <is>
          <t>3767-7-LE26</t>
        </is>
      </c>
      <c r="B200" s="13" t="inlineStr">
        <is>
          <t>SERVICIO ARRIENDO DE TRANSPORTE ESCOLAR ESTABLECIMIENTOS EDUCACIONALES MUNICIPALES COMUNA DE PELARCO</t>
        </is>
      </c>
      <c r="C200" s="11" t="n">
        <v>0</v>
      </c>
      <c r="D200" s="13" t="inlineStr">
        <is>
          <t>score 0 &lt; 30</t>
        </is>
      </c>
    </row>
    <row r="201">
      <c r="A201" s="11" t="inlineStr">
        <is>
          <t>3791-76-LP26</t>
        </is>
      </c>
      <c r="B201" s="13" t="inlineStr">
        <is>
          <t>Construcción Sede A.G. Agrícola y Ganadera de Pequeños Campesinos de La Junta</t>
        </is>
      </c>
      <c r="C201" s="11" t="n">
        <v>11</v>
      </c>
      <c r="D201" s="13" t="inlineStr">
        <is>
          <t>score 11 &lt; 30</t>
        </is>
      </c>
    </row>
    <row r="202">
      <c r="A202" s="11" t="inlineStr">
        <is>
          <t>3798-19-LR26</t>
        </is>
      </c>
      <c r="B202" s="13" t="inlineStr">
        <is>
          <t>ADQUISICIÓN DE TERRENO DE INFRAESTRUCTURA PÚBLICA</t>
        </is>
      </c>
      <c r="C202" s="11" t="n">
        <v>9</v>
      </c>
      <c r="D202" s="13" t="inlineStr">
        <is>
          <t>solo mencion de inmueble, sin servicio inmobiliario</t>
        </is>
      </c>
    </row>
    <row r="203">
      <c r="A203" s="11" t="inlineStr">
        <is>
          <t>3799-21-LE26</t>
        </is>
      </c>
      <c r="B203" s="13" t="inlineStr">
        <is>
          <t>HABILITACIÓN PLAZOLETA POBLACIÓN 14 DE LA FAMA</t>
        </is>
      </c>
      <c r="C203" s="11" t="n">
        <v>0</v>
      </c>
      <c r="D203" s="13" t="inlineStr">
        <is>
          <t>score 0 &lt; 30</t>
        </is>
      </c>
    </row>
    <row r="204">
      <c r="A204" s="11" t="inlineStr">
        <is>
          <t>3838-86-CO26</t>
        </is>
      </c>
      <c r="B204" s="13" t="inlineStr">
        <is>
          <t>CONVENIO DE SUMINISTRO ADQUISICIÓN SERVICIO DE MOVILIZACIÓN PROGRAMAS DE LA DIRECCIÓN DESARROLLO COMUNITARIO Y DEPARTAMENTO GESTIÓN DE RIESGO DE DESASTRES</t>
        </is>
      </c>
      <c r="C204" s="11" t="n">
        <v>5</v>
      </c>
      <c r="D204" s="13" t="inlineStr">
        <is>
          <t>solo mencion de inmueble, sin servicio inmobiliario</t>
        </is>
      </c>
    </row>
    <row r="205">
      <c r="A205" s="11" t="inlineStr">
        <is>
          <t>3847-41-LE26</t>
        </is>
      </c>
      <c r="B205" s="13" t="inlineStr">
        <is>
          <t>DISEÑO PLAN MAESTRO PARQUE URBANO BAQUEDANO</t>
        </is>
      </c>
      <c r="C205" s="11" t="n">
        <v>16</v>
      </c>
      <c r="D205" s="13" t="inlineStr">
        <is>
          <t>score 16 &lt; 30</t>
        </is>
      </c>
    </row>
    <row r="206">
      <c r="A206" s="11" t="inlineStr">
        <is>
          <t>3849-4-LE26</t>
        </is>
      </c>
      <c r="B206" s="13" t="inlineStr">
        <is>
          <t>ADQUISICIÓN E INSTALACIÓN DE VENTANAS</t>
        </is>
      </c>
      <c r="C206" s="11" t="n">
        <v>11</v>
      </c>
      <c r="D206" s="13" t="inlineStr">
        <is>
          <t>score 11 &lt; 30</t>
        </is>
      </c>
    </row>
    <row r="207">
      <c r="A207" s="11" t="inlineStr">
        <is>
          <t>3882-90-LE26</t>
        </is>
      </c>
      <c r="B207" s="13" t="inlineStr">
        <is>
          <t>“ADQUISICION DE EQUIPOS PARA OFICINAS MUNICIPALES COMUNA DE LLAY LLAY”.</t>
        </is>
      </c>
      <c r="C207" s="11" t="n">
        <v>10</v>
      </c>
      <c r="D207" s="13" t="inlineStr">
        <is>
          <t>solo mencion de inmueble, sin servicio inmobiliario</t>
        </is>
      </c>
    </row>
    <row r="208">
      <c r="A208" s="11" t="inlineStr">
        <is>
          <t>3889-47-L126</t>
        </is>
      </c>
      <c r="B208" s="13" t="inlineStr">
        <is>
          <t>Reparación de recinto del Progr. Creciendo Juntos</t>
        </is>
      </c>
      <c r="C208" s="11" t="n">
        <v>5</v>
      </c>
      <c r="D208" s="13" t="inlineStr">
        <is>
          <t>solo mencion de inmueble, sin servicio inmobiliario</t>
        </is>
      </c>
    </row>
    <row r="209">
      <c r="A209" s="11" t="inlineStr">
        <is>
          <t>3889-48-LE26</t>
        </is>
      </c>
      <c r="B209" s="13" t="inlineStr">
        <is>
          <t>Habilitacion de espacios ExDaem-Box Dental</t>
        </is>
      </c>
      <c r="C209" s="11" t="n">
        <v>8</v>
      </c>
      <c r="D209" s="13" t="inlineStr">
        <is>
          <t>score 8 &lt; 30</t>
        </is>
      </c>
    </row>
    <row r="210">
      <c r="A210" s="11" t="inlineStr">
        <is>
          <t>3908-44-LE26</t>
        </is>
      </c>
      <c r="B210" s="13" t="inlineStr">
        <is>
          <t>HABILITACIÓN Y SEÑALIZACIÓN PLAZOLETA RENÉ PINEDA Y MEJORAMIENTO PLAZA POBLACIÓN NUEVO VIVIR COMUNA DE RENAICO</t>
        </is>
      </c>
      <c r="C210" s="11" t="n">
        <v>0</v>
      </c>
      <c r="D210" s="13" t="inlineStr">
        <is>
          <t>score 0 &lt; 30</t>
        </is>
      </c>
    </row>
    <row r="211">
      <c r="A211" s="11" t="inlineStr">
        <is>
          <t>3934-41-L126</t>
        </is>
      </c>
      <c r="B211" s="13" t="inlineStr">
        <is>
          <t xml:space="preserve">ADQUISICION DE FARMACOS PARA USO EN ESTABLECIMIENTOS DE SALUD DEL DEPARTAMENTO DE SALUD MUNICIPAL FREIRE </t>
        </is>
      </c>
      <c r="C211" s="11" t="n">
        <v>5</v>
      </c>
      <c r="D211" s="13" t="inlineStr">
        <is>
          <t>solo mencion de inmueble, sin servicio inmobiliario</t>
        </is>
      </c>
    </row>
    <row r="212">
      <c r="A212" s="11" t="inlineStr">
        <is>
          <t>3958-55-L126</t>
        </is>
      </c>
      <c r="B212" s="13" t="inlineStr">
        <is>
          <t>ADQUISICIONES DE MATERIALES DE OFICINA PARA EL DAEM DE NAVIDAD</t>
        </is>
      </c>
      <c r="C212" s="11" t="n">
        <v>10</v>
      </c>
      <c r="D212" s="13" t="inlineStr">
        <is>
          <t>solo mencion de inmueble, sin servicio inmobiliario</t>
        </is>
      </c>
    </row>
    <row r="213">
      <c r="A213" s="11" t="inlineStr">
        <is>
          <t>3963-16-LP26</t>
        </is>
      </c>
      <c r="B213" s="13" t="inlineStr">
        <is>
          <t>Mej. Sede y Multicancha Pobl.Juan Gonzalez Peumo</t>
        </is>
      </c>
      <c r="C213" s="11" t="n">
        <v>8</v>
      </c>
      <c r="D213" s="13" t="inlineStr">
        <is>
          <t>solo mencion de inmueble, sin servicio inmobiliario</t>
        </is>
      </c>
    </row>
    <row r="214">
      <c r="A214" s="11" t="inlineStr">
        <is>
          <t>3994-29-LR26</t>
        </is>
      </c>
      <c r="B214" s="13" t="inlineStr">
        <is>
          <t>CONST. SEDE Y ESPACIO COMUNITARIO GULTRO ORIENTE</t>
        </is>
      </c>
      <c r="C214" s="11" t="n">
        <v>8</v>
      </c>
      <c r="D214" s="13" t="inlineStr">
        <is>
          <t>solo mencion de inmueble, sin servicio inmobiliario</t>
        </is>
      </c>
    </row>
    <row r="215">
      <c r="A215" s="11" t="inlineStr">
        <is>
          <t>4032-22-LP26</t>
        </is>
      </c>
      <c r="B215" s="13" t="inlineStr">
        <is>
          <t>REPOSICIÓN OFICINA DE TURISMO CAÑETE</t>
        </is>
      </c>
      <c r="C215" s="11" t="n">
        <v>10</v>
      </c>
      <c r="D215" s="13" t="inlineStr">
        <is>
          <t>solo mencion de inmueble, sin servicio inmobiliario</t>
        </is>
      </c>
    </row>
    <row r="216">
      <c r="A216" s="11" t="inlineStr">
        <is>
          <t>4063-1-LP26</t>
        </is>
      </c>
      <c r="B216" s="13" t="inlineStr">
        <is>
          <t>CONSTRUCCIÓN SEDE CLUB COLO COLO DE CUYÁN MARIQUINA</t>
        </is>
      </c>
      <c r="C216" s="11" t="n">
        <v>8</v>
      </c>
      <c r="D216" s="13" t="inlineStr">
        <is>
          <t>solo mencion de inmueble, sin servicio inmobiliario</t>
        </is>
      </c>
    </row>
    <row r="217">
      <c r="A217" s="11" t="inlineStr">
        <is>
          <t>4086-49-LE26</t>
        </is>
      </c>
      <c r="B217" s="13" t="inlineStr">
        <is>
          <t>SERVICIO ARRIENDO DE EXCAVADORA</t>
        </is>
      </c>
      <c r="C217" s="11" t="n">
        <v>0</v>
      </c>
      <c r="D217" s="13" t="inlineStr">
        <is>
          <t>score 0 &lt; 30</t>
        </is>
      </c>
    </row>
    <row r="218">
      <c r="A218" s="11" t="inlineStr">
        <is>
          <t>411-45-LE26</t>
        </is>
      </c>
      <c r="B218" s="13" t="inlineStr">
        <is>
          <t>MEJORAMIENTO TECHUMBRE SEDE JJVV RETAMO</t>
        </is>
      </c>
      <c r="C218" s="11" t="n">
        <v>8</v>
      </c>
      <c r="D218" s="13" t="inlineStr">
        <is>
          <t>solo mencion de inmueble, sin servicio inmobiliario</t>
        </is>
      </c>
    </row>
    <row r="219">
      <c r="A219" s="11" t="inlineStr">
        <is>
          <t>4127-50-LE26</t>
        </is>
      </c>
      <c r="B219" s="13" t="inlineStr">
        <is>
          <t>[DIVAP] Estudio del bodegaje de ajuares</t>
        </is>
      </c>
      <c r="C219" s="11" t="n">
        <v>7</v>
      </c>
      <c r="D219" s="13" t="inlineStr">
        <is>
          <t>solo mencion de inmueble, sin servicio inmobiliario</t>
        </is>
      </c>
    </row>
    <row r="220">
      <c r="A220" s="11" t="inlineStr">
        <is>
          <t>4143-7-LE26</t>
        </is>
      </c>
      <c r="B220" s="13" t="inlineStr">
        <is>
          <t xml:space="preserve">ADQ. MATERIAL Y ARRIENDO MAQUINA BACHEO PALMILLA </t>
        </is>
      </c>
      <c r="C220" s="11" t="n">
        <v>0</v>
      </c>
      <c r="D220" s="13" t="inlineStr">
        <is>
          <t>score 0 &lt; 30</t>
        </is>
      </c>
    </row>
    <row r="221">
      <c r="A221" s="11" t="inlineStr">
        <is>
          <t>4160-14-LP26</t>
        </is>
      </c>
      <c r="B221" s="13" t="inlineStr">
        <is>
          <t>CONSTRUCCION SEDE SOCIAL JJVV LOS NOTROS HUALPEN</t>
        </is>
      </c>
      <c r="C221" s="11" t="n">
        <v>8</v>
      </c>
      <c r="D221" s="13" t="inlineStr">
        <is>
          <t>solo mencion de inmueble, sin servicio inmobiliario</t>
        </is>
      </c>
    </row>
    <row r="222">
      <c r="A222" s="11" t="inlineStr">
        <is>
          <t>4164-44-LP26</t>
        </is>
      </c>
      <c r="B222" s="13" t="inlineStr">
        <is>
          <t>SUMINISTRO DE TRASLADOS DE PASAJEROS TRAMO A y B</t>
        </is>
      </c>
      <c r="C222" s="11" t="n">
        <v>0</v>
      </c>
      <c r="D222" s="13" t="inlineStr">
        <is>
          <t>score 0 &lt; 30</t>
        </is>
      </c>
    </row>
    <row r="223">
      <c r="A223" s="11" t="inlineStr">
        <is>
          <t>425-57-LR26</t>
        </is>
      </c>
      <c r="B223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23" s="11" t="n">
        <v>0</v>
      </c>
      <c r="D223" s="13" t="inlineStr">
        <is>
          <t>score 0 &lt; 30</t>
        </is>
      </c>
    </row>
    <row r="224">
      <c r="A224" s="11" t="inlineStr">
        <is>
          <t>425-66-LP26</t>
        </is>
      </c>
      <c r="B224" s="13" t="inlineStr">
        <is>
          <t>Servicio de Habilitación Fiscalía Judicial</t>
        </is>
      </c>
      <c r="C224" s="11" t="n">
        <v>0</v>
      </c>
      <c r="D224" s="13" t="inlineStr">
        <is>
          <t>score 0 &lt; 30</t>
        </is>
      </c>
    </row>
    <row r="225">
      <c r="A225" s="11" t="inlineStr">
        <is>
          <t>425-68-LE26</t>
        </is>
      </c>
      <c r="B225" s="13" t="inlineStr">
        <is>
          <t>Servicio de Instalación de Pasto Sintético y Mejoras en Canchas de Centro Deportivo del Departamento de Bienestar</t>
        </is>
      </c>
      <c r="C225" s="11" t="n">
        <v>5</v>
      </c>
      <c r="D225" s="13" t="inlineStr">
        <is>
          <t>solo mencion de inmueble, sin servicio inmobiliario</t>
        </is>
      </c>
    </row>
    <row r="226">
      <c r="A226" s="11" t="inlineStr">
        <is>
          <t>4284-150-L126</t>
        </is>
      </c>
      <c r="B226" s="13" t="inlineStr">
        <is>
          <t>Adquisición de materiales de oficina didáctico-educativo ejecución actividades usuarios programas Vínculos versión 20 primer añoOLN según bases adjuntas Pagina 1.2 detalles de bienes a licitar</t>
        </is>
      </c>
      <c r="C226" s="11" t="n">
        <v>10</v>
      </c>
      <c r="D226" s="13" t="inlineStr">
        <is>
          <t>solo mencion de inmueble, sin servicio inmobiliario</t>
        </is>
      </c>
    </row>
    <row r="227">
      <c r="A227" s="11" t="inlineStr">
        <is>
          <t>4284-153-E226</t>
        </is>
      </c>
      <c r="B227" s="13" t="inlineStr">
        <is>
          <t>Adquisición de 50 metros de leña nativa seca y trozada para calefacción dependencias municipales Según bases adjuntas Punto 2 productos requeridos</t>
        </is>
      </c>
      <c r="C227" s="11" t="n">
        <v>8</v>
      </c>
      <c r="D227" s="13" t="inlineStr">
        <is>
          <t>solo mencion de inmueble, sin servicio inmobiliario</t>
        </is>
      </c>
    </row>
    <row r="228">
      <c r="A228" s="11" t="inlineStr">
        <is>
          <t>4295-67-LP26</t>
        </is>
      </c>
      <c r="B228" s="13" t="inlineStr">
        <is>
          <t>Servicio de enlace de datos voz IP y CCTV para oficinas remotas</t>
        </is>
      </c>
      <c r="C228" s="11" t="n">
        <v>10</v>
      </c>
      <c r="D228" s="13" t="inlineStr">
        <is>
          <t>solo mencion de inmueble, sin servicio inmobiliario</t>
        </is>
      </c>
    </row>
    <row r="229">
      <c r="A229" s="11" t="inlineStr">
        <is>
          <t>4295-82-LP26</t>
        </is>
      </c>
      <c r="B229" s="13" t="inlineStr">
        <is>
          <t>ARRIENDO INSTALACIÓN Y MANTENCIÓN DE GABINETES PSICOTÉCNICOS 2026-2029</t>
        </is>
      </c>
      <c r="C229" s="11" t="n">
        <v>0</v>
      </c>
      <c r="D229" s="13" t="inlineStr">
        <is>
          <t>score 0 &lt; 30</t>
        </is>
      </c>
    </row>
    <row r="230">
      <c r="A230" s="11" t="inlineStr">
        <is>
          <t>45-45-LR26</t>
        </is>
      </c>
      <c r="B230" s="13" t="inlineStr">
        <is>
          <t>SERVICIO DE SEGURIDAD FISICA PARA DEPENDENCIAS DEL SENCE NIVEL CENTRAL Y DIRECCION REGIONAL METROPOLITANA</t>
        </is>
      </c>
      <c r="C230" s="11" t="n">
        <v>8</v>
      </c>
      <c r="D230" s="13" t="inlineStr">
        <is>
          <t>solo mencion de inmueble, sin servicio inmobiliario</t>
        </is>
      </c>
    </row>
    <row r="231">
      <c r="A231" s="11" t="inlineStr">
        <is>
          <t>4590-16-LE26</t>
        </is>
      </c>
      <c r="B231" s="13" t="inlineStr">
        <is>
          <t xml:space="preserve">80 días de arriendo de rodillo liso vibratorio </t>
        </is>
      </c>
      <c r="C231" s="11" t="n">
        <v>0</v>
      </c>
      <c r="D231" s="13" t="inlineStr">
        <is>
          <t>score 0 &lt; 30</t>
        </is>
      </c>
    </row>
    <row r="232">
      <c r="A232" s="11" t="inlineStr">
        <is>
          <t>4644-8-LP26</t>
        </is>
      </c>
      <c r="B232" s="13" t="inlineStr">
        <is>
          <t>TRANSPORTE-CONTRATISTAS Y ARRIENDO MAQ FORESTAL</t>
        </is>
      </c>
      <c r="C232" s="11" t="n">
        <v>0</v>
      </c>
      <c r="D232" s="13" t="inlineStr">
        <is>
          <t>score 0 &lt; 30</t>
        </is>
      </c>
    </row>
    <row r="233">
      <c r="A233" s="11" t="inlineStr">
        <is>
          <t>4686-30-LE26</t>
        </is>
      </c>
      <c r="B233" s="13" t="inlineStr">
        <is>
          <t>Servicio de arrendamiento de bodegas</t>
        </is>
      </c>
      <c r="C233" s="11" t="n">
        <v>19</v>
      </c>
      <c r="D233" s="13" t="inlineStr">
        <is>
          <t>score 19 &lt; 30</t>
        </is>
      </c>
    </row>
    <row r="234">
      <c r="A234" s="11" t="inlineStr">
        <is>
          <t>4803-29-LP26</t>
        </is>
      </c>
      <c r="B234" s="13" t="inlineStr">
        <is>
          <t>SERVICIOS PROFESIONALES Y ARRIENDO DE EQUIPAMIENTO</t>
        </is>
      </c>
      <c r="C234" s="11" t="n">
        <v>0</v>
      </c>
      <c r="D234" s="13" t="inlineStr">
        <is>
          <t>score 0 &lt; 30</t>
        </is>
      </c>
    </row>
    <row r="235">
      <c r="A235" s="11" t="inlineStr">
        <is>
          <t>4967-35-LP26</t>
        </is>
      </c>
      <c r="B235" s="13" t="inlineStr">
        <is>
          <t>CONVENIO DE SUMINISTRO DE CÁNULAS DE ALTO FLUJO CON EQUIPO EN COMODATO</t>
        </is>
      </c>
      <c r="C235" s="11" t="n">
        <v>0</v>
      </c>
      <c r="D235" s="13" t="inlineStr">
        <is>
          <t>score 0 &lt; 30</t>
        </is>
      </c>
    </row>
    <row r="236">
      <c r="A236" s="11" t="inlineStr">
        <is>
          <t>4968-50-LP26</t>
        </is>
      </c>
      <c r="B236" s="13" t="inlineStr">
        <is>
          <t>REHABILITACIÓN PSICOSOCIAL TIPO I Y II</t>
        </is>
      </c>
      <c r="C236" s="11" t="n">
        <v>0</v>
      </c>
      <c r="D236" s="13" t="inlineStr">
        <is>
          <t>score 0 &lt; 30</t>
        </is>
      </c>
    </row>
    <row r="237">
      <c r="A237" s="11" t="inlineStr">
        <is>
          <t>4988-34-LE26</t>
        </is>
      </c>
      <c r="B237" s="13" t="inlineStr">
        <is>
          <t>REPARACIÓN Y MANTENIMIENTO CALDERAS DE DEPENDENCIAS MUNICIPALES</t>
        </is>
      </c>
      <c r="C237" s="11" t="n">
        <v>8</v>
      </c>
      <c r="D237" s="13" t="inlineStr">
        <is>
          <t>solo mencion de inmueble, sin servicio inmobiliario</t>
        </is>
      </c>
    </row>
    <row r="238">
      <c r="A238" s="11" t="inlineStr">
        <is>
          <t>5048-51-O126</t>
        </is>
      </c>
      <c r="B238" s="13" t="inlineStr">
        <is>
          <t>AIF TRES VENTANAS TRAMO 2</t>
        </is>
      </c>
      <c r="C238" s="11" t="n">
        <v>0</v>
      </c>
      <c r="D238" s="13" t="inlineStr">
        <is>
          <t>score 0 &lt; 30</t>
        </is>
      </c>
    </row>
    <row r="239">
      <c r="A239" s="11" t="inlineStr">
        <is>
          <t>5056-110-LP26</t>
        </is>
      </c>
      <c r="B239" s="13" t="inlineStr">
        <is>
          <t>Servicio de traslado para Funcionarios y Personal hospitalario del hrt</t>
        </is>
      </c>
      <c r="C239" s="11" t="n">
        <v>0</v>
      </c>
      <c r="D239" s="13" t="inlineStr">
        <is>
          <t>score 0 &lt; 30</t>
        </is>
      </c>
    </row>
    <row r="240">
      <c r="A240" s="11" t="inlineStr">
        <is>
          <t>5056-116-LE26</t>
        </is>
      </c>
      <c r="B240" s="13" t="inlineStr">
        <is>
          <t>COMPRA DE SERVICIOS DE TRASLADO DE PACIENTES FALLECIDOS</t>
        </is>
      </c>
      <c r="C240" s="11" t="n">
        <v>0</v>
      </c>
      <c r="D240" s="13" t="inlineStr">
        <is>
          <t>score 0 &lt; 30</t>
        </is>
      </c>
    </row>
    <row r="241">
      <c r="A241" s="11" t="inlineStr">
        <is>
          <t>5056-120-LE26</t>
        </is>
      </c>
      <c r="B241" s="13" t="inlineStr">
        <is>
          <t>ARRIENDO DE CAMILLAS DE TRANSPORTE</t>
        </is>
      </c>
      <c r="C241" s="11" t="n">
        <v>0</v>
      </c>
      <c r="D241" s="13" t="inlineStr">
        <is>
          <t>score 0 &lt; 30</t>
        </is>
      </c>
    </row>
    <row r="242">
      <c r="A242" s="11" t="inlineStr">
        <is>
          <t>507428-115-LP26</t>
        </is>
      </c>
      <c r="B242" s="13" t="inlineStr">
        <is>
          <t>ADQUISICIÓN DE EQUIPOS DE REHABILITACIÓN NHA</t>
        </is>
      </c>
      <c r="C242" s="11" t="n">
        <v>0</v>
      </c>
      <c r="D242" s="13" t="inlineStr">
        <is>
          <t>score 0 &lt; 30</t>
        </is>
      </c>
    </row>
    <row r="243">
      <c r="A243" s="11" t="inlineStr">
        <is>
          <t>514862-128-LE26</t>
        </is>
      </c>
      <c r="B243" s="13" t="inlineStr">
        <is>
          <t>10032629 ARRIENDO DE BODEGA PARA FÁRMACOS E INSUMO</t>
        </is>
      </c>
      <c r="C243" s="11" t="n">
        <v>19</v>
      </c>
      <c r="D243" s="13" t="inlineStr">
        <is>
          <t>score 19 &lt; 30</t>
        </is>
      </c>
    </row>
    <row r="244">
      <c r="A244" s="11" t="inlineStr">
        <is>
          <t>5209-7-LR26</t>
        </is>
      </c>
      <c r="B244" s="13" t="inlineStr">
        <is>
          <t>SUMINISTRO DE PROPOFOL 1% Y 2% CON EQUIPO COMODATO</t>
        </is>
      </c>
      <c r="C244" s="11" t="n">
        <v>0</v>
      </c>
      <c r="D244" s="13" t="inlineStr">
        <is>
          <t>score 0 &lt; 30</t>
        </is>
      </c>
    </row>
    <row r="245">
      <c r="A245" s="11" t="inlineStr">
        <is>
          <t>5240-102-LR26</t>
        </is>
      </c>
      <c r="B245" s="13" t="inlineStr">
        <is>
          <t>CONTRATACIÓN DEL SERVICIO DE TRASLADO Y APOYO LOGÍSTICO DEL SEMINARIO INTERNACIONAL AÑO 2026 DE LA ESCUELA DE CARABINEROS DE CHILE</t>
        </is>
      </c>
      <c r="C245" s="11" t="n">
        <v>0</v>
      </c>
      <c r="D245" s="13" t="inlineStr">
        <is>
          <t>score 0 &lt; 30</t>
        </is>
      </c>
    </row>
    <row r="246">
      <c r="A246" s="11" t="inlineStr">
        <is>
          <t>525512-39-LE26</t>
        </is>
      </c>
      <c r="B246" s="13" t="inlineStr">
        <is>
          <t>Formulación y Elaboración de diseño proyecto Construcción sede social JJVV N°2 de Colchane comuna de Colchane</t>
        </is>
      </c>
      <c r="C246" s="11" t="n">
        <v>8</v>
      </c>
      <c r="D246" s="13" t="inlineStr">
        <is>
          <t>solo mencion de inmueble, sin servicio inmobiliario</t>
        </is>
      </c>
    </row>
    <row r="247">
      <c r="A247" s="11" t="inlineStr">
        <is>
          <t>528208-35-LP26</t>
        </is>
      </c>
      <c r="B247" s="13" t="inlineStr">
        <is>
          <t>HABILITACIÓN DE CRUCE SEMAFORIZADO EN CALLES SALVADOR GUTIÉRREZ - RESBALÓN - FANALOZA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5300-66-LP26</t>
        </is>
      </c>
      <c r="B248" s="13" t="inlineStr">
        <is>
          <t>CONSTRUCCION SSHH ESTADIO MUNICIPAL DE CASABLANCA</t>
        </is>
      </c>
      <c r="C248" s="11" t="n">
        <v>5</v>
      </c>
      <c r="D248" s="13" t="inlineStr">
        <is>
          <t>solo mencion de inmueble, sin servicio inmobiliario</t>
        </is>
      </c>
    </row>
    <row r="249">
      <c r="A249" s="11" t="inlineStr">
        <is>
          <t>539119-91-LE26</t>
        </is>
      </c>
      <c r="B249" s="13" t="inlineStr">
        <is>
          <t>SERVICIO DE MANTENCIÓN PREVENTIVA MENSUAL DE SALAS DE BOMBAS DE AGUA POTABLE Y AGUAS SERVIDAS DE DIFERENTES CONJUNTOS HABITACIONALES DE LA REGION METROPOLITANA ADMINISTRADOS POR EL DEPARTAMENTO GESTIÓN DE VIVIENDA Y POBLACIONES B.4.</t>
        </is>
      </c>
      <c r="C249" s="11" t="n">
        <v>5</v>
      </c>
      <c r="D249" s="13" t="inlineStr">
        <is>
          <t>solo mencion de inmueble, sin servicio inmobiliario</t>
        </is>
      </c>
    </row>
    <row r="250">
      <c r="A250" s="11" t="inlineStr">
        <is>
          <t>5420-22-LP26</t>
        </is>
      </c>
      <c r="B250" s="13" t="inlineStr">
        <is>
          <t>Arriendo de enlace de voz y datos</t>
        </is>
      </c>
      <c r="C250" s="11" t="n">
        <v>16</v>
      </c>
      <c r="D250" s="13" t="inlineStr">
        <is>
          <t>score 16 &lt; 30</t>
        </is>
      </c>
    </row>
    <row r="251">
      <c r="A251" s="11" t="inlineStr">
        <is>
          <t>547640-16-L126</t>
        </is>
      </c>
      <c r="B251" s="13" t="inlineStr">
        <is>
          <t xml:space="preserve">MEJORAMIENTO Y HABILITACIÓN CASA DE SALUD MENTAL </t>
        </is>
      </c>
      <c r="C251" s="11" t="n">
        <v>17</v>
      </c>
      <c r="D251" s="13" t="inlineStr">
        <is>
          <t>score 17 &lt; 30</t>
        </is>
      </c>
    </row>
    <row r="252">
      <c r="A252" s="11" t="inlineStr">
        <is>
          <t>5482-109-LP26</t>
        </is>
      </c>
      <c r="B252" s="13" t="inlineStr">
        <is>
          <t>SERVICIO DE HABILITACIÓN PLAZA RECREATIVA SALVADOR CRUZ GANA COMUNA DE ÑUÑOA</t>
        </is>
      </c>
      <c r="C252" s="11" t="n">
        <v>0</v>
      </c>
      <c r="D252" s="13" t="inlineStr">
        <is>
          <t>score 0 &lt; 30</t>
        </is>
      </c>
    </row>
    <row r="253">
      <c r="A253" s="11" t="inlineStr">
        <is>
          <t>5482-91-LE26</t>
        </is>
      </c>
      <c r="B253" s="13" t="inlineStr">
        <is>
          <t>REMODELACIÓN ÁREA JURÍDICA EDIFICIO CONSISTORIAL</t>
        </is>
      </c>
      <c r="C253" s="11" t="n">
        <v>11</v>
      </c>
      <c r="D253" s="13" t="inlineStr">
        <is>
          <t>score 11 &lt; 30</t>
        </is>
      </c>
    </row>
    <row r="254">
      <c r="A254" s="11" t="inlineStr">
        <is>
          <t>5482-96-LE26</t>
        </is>
      </c>
      <c r="B254" s="13" t="inlineStr">
        <is>
          <t xml:space="preserve"> “REMODELACIÓN SECTOR CENTRAL 3° PISO EDIFICIO  CONSISTORIAL”.</t>
        </is>
      </c>
      <c r="C254" s="11" t="n">
        <v>8</v>
      </c>
      <c r="D254" s="13" t="inlineStr">
        <is>
          <t>solo mencion de inmueble, sin servicio inmobiliario</t>
        </is>
      </c>
    </row>
    <row r="255">
      <c r="A255" s="11" t="inlineStr">
        <is>
          <t>5482-97-LE26</t>
        </is>
      </c>
      <c r="B255" s="13" t="inlineStr">
        <is>
          <t>“EJECUCIÓN TRABAJOS ELECTRICIDAD ILUMINACIÓN CORRIENTES DÉBILES SANITARIO Y CLIMA SECTOR CENTRAL 3° PISO EDIFICIO CONSISTORIAL”.</t>
        </is>
      </c>
      <c r="C255" s="11" t="n">
        <v>8</v>
      </c>
      <c r="D255" s="13" t="inlineStr">
        <is>
          <t>solo mencion de inmueble, sin servicio inmobiliario</t>
        </is>
      </c>
    </row>
    <row r="256">
      <c r="A256" s="11" t="inlineStr">
        <is>
          <t>5510-7-LR26</t>
        </is>
      </c>
      <c r="B256" s="13" t="inlineStr">
        <is>
          <t>HABILITACIÓN CAFETERÍA ZÓCALO TORRE JEA - FCFM</t>
        </is>
      </c>
      <c r="C256" s="11" t="n">
        <v>0</v>
      </c>
      <c r="D256" s="13" t="inlineStr">
        <is>
          <t>score 0 &lt; 30</t>
        </is>
      </c>
    </row>
    <row r="257">
      <c r="A257" s="11" t="inlineStr">
        <is>
          <t>5558-10-L126</t>
        </is>
      </c>
      <c r="B257" s="13" t="inlineStr">
        <is>
          <t>SERVICIO DE IMPLEMENTACIÓN PUNTO VERDE Y SERVICIO DE RECICLAJE PARA DEPENDENCIAS DEL INSTITUTO DE SEGURIDAD LABORAL EN LA REGIÓN DE LA ARAUCANÍA</t>
        </is>
      </c>
      <c r="C257" s="11" t="n">
        <v>8</v>
      </c>
      <c r="D257" s="13" t="inlineStr">
        <is>
          <t>solo mencion de inmueble, sin servicio inmobiliario</t>
        </is>
      </c>
    </row>
    <row r="258">
      <c r="A258" s="11" t="inlineStr">
        <is>
          <t>5590-2-LE26</t>
        </is>
      </c>
      <c r="B258" s="13" t="inlineStr">
        <is>
          <t>Habilitación de Laboratorio FIRC</t>
        </is>
      </c>
      <c r="C258" s="11" t="n">
        <v>0</v>
      </c>
      <c r="D258" s="13" t="inlineStr">
        <is>
          <t>score 0 &lt; 30</t>
        </is>
      </c>
    </row>
    <row r="259">
      <c r="A259" s="11" t="inlineStr">
        <is>
          <t>5596-5-LP26</t>
        </is>
      </c>
      <c r="B259" s="13" t="inlineStr">
        <is>
          <t>INVENTARIO PATRIMONIO CULTURAL INMUEBLE AYP.</t>
        </is>
      </c>
      <c r="C259" s="11" t="n">
        <v>26</v>
      </c>
      <c r="D259" s="13" t="inlineStr">
        <is>
          <t>score 26 &lt; 30</t>
        </is>
      </c>
    </row>
    <row r="260">
      <c r="A260" s="11" t="inlineStr">
        <is>
          <t>564953-76-LR26</t>
        </is>
      </c>
      <c r="B260" s="13" t="inlineStr">
        <is>
          <t>Habilitación de Farmacia Comunal Apoquindo</t>
        </is>
      </c>
      <c r="C260" s="11" t="n">
        <v>0</v>
      </c>
      <c r="D260" s="13" t="inlineStr">
        <is>
          <t>score 0 &lt; 30</t>
        </is>
      </c>
    </row>
    <row r="261">
      <c r="A261" s="11" t="inlineStr">
        <is>
          <t>5688-5-LE26</t>
        </is>
      </c>
      <c r="B261" s="13" t="inlineStr">
        <is>
          <t xml:space="preserve">LE SERVICIO DE CAMARAS ALARMAS Y MONITOREO PARA OFICINAS EN COMUNAS </t>
        </is>
      </c>
      <c r="C261" s="11" t="n">
        <v>10</v>
      </c>
      <c r="D261" s="13" t="inlineStr">
        <is>
          <t>solo mencion de inmueble, sin servicio inmobiliario</t>
        </is>
      </c>
    </row>
    <row r="262">
      <c r="A262" s="11" t="inlineStr">
        <is>
          <t>5752-22-LP26</t>
        </is>
      </c>
      <c r="B262" s="13" t="inlineStr">
        <is>
          <t>CONTRUCCIÓN SEDE COMUNITARIA LOS CONSTRUCTORES</t>
        </is>
      </c>
      <c r="C262" s="11" t="n">
        <v>8</v>
      </c>
      <c r="D262" s="13" t="inlineStr">
        <is>
          <t>solo mencion de inmueble, sin servicio inmobiliario</t>
        </is>
      </c>
    </row>
    <row r="263">
      <c r="A263" s="11" t="inlineStr">
        <is>
          <t>5839-6-LR26</t>
        </is>
      </c>
      <c r="B263" s="13" t="inlineStr">
        <is>
          <t>Suministro Test reportado y Eq. comodato B. Sangre</t>
        </is>
      </c>
      <c r="C263" s="11" t="n">
        <v>0</v>
      </c>
      <c r="D263" s="13" t="inlineStr">
        <is>
          <t>score 0 &lt; 30</t>
        </is>
      </c>
    </row>
    <row r="264">
      <c r="A264" s="11" t="inlineStr">
        <is>
          <t>5858-6-LP26</t>
        </is>
      </c>
      <c r="B264" s="13" t="inlineStr">
        <is>
          <t>MEJORAMIENTO SEDE SOCIAL LOCALIDAD CERRO BLANCO-O</t>
        </is>
      </c>
      <c r="C264" s="11" t="n">
        <v>11</v>
      </c>
      <c r="D264" s="13" t="inlineStr">
        <is>
          <t>score 11 &lt; 30</t>
        </is>
      </c>
    </row>
    <row r="265">
      <c r="A265" s="11" t="inlineStr">
        <is>
          <t>591-33-LP26</t>
        </is>
      </c>
      <c r="B265" s="13" t="inlineStr">
        <is>
          <t>HABILITACIÓN PISO 7 – OFICINAS Y SALA MULTIUSO PARA EL FONASA</t>
        </is>
      </c>
      <c r="C265" s="11" t="n">
        <v>16</v>
      </c>
      <c r="D265" s="13" t="inlineStr">
        <is>
          <t>score 16 &lt; 30</t>
        </is>
      </c>
    </row>
    <row r="266">
      <c r="A266" s="11" t="inlineStr">
        <is>
          <t>592-18-LP26</t>
        </is>
      </c>
      <c r="B266" s="13" t="inlineStr">
        <is>
          <t>Servicio de Obras Menores en edificio NC y Otras</t>
        </is>
      </c>
      <c r="C266" s="11" t="n">
        <v>8</v>
      </c>
      <c r="D266" s="13" t="inlineStr">
        <is>
          <t>solo mencion de inmueble, sin servicio inmobiliario</t>
        </is>
      </c>
    </row>
    <row r="267">
      <c r="A267" s="11" t="inlineStr">
        <is>
          <t>614795-7-LE26</t>
        </is>
      </c>
      <c r="B267" s="13" t="inlineStr">
        <is>
          <t>Inventario de Emisiones art 73 DS 18-23</t>
        </is>
      </c>
      <c r="C267" s="11" t="n">
        <v>0</v>
      </c>
      <c r="D267" s="13" t="inlineStr">
        <is>
          <t>score 0 &lt; 30</t>
        </is>
      </c>
    </row>
    <row r="268">
      <c r="A268" s="11" t="inlineStr">
        <is>
          <t>618923-17-LE26</t>
        </is>
      </c>
      <c r="B268" s="13" t="inlineStr">
        <is>
          <t>ARRIENDO DE MÁQUINAS DISPENSADORAS DE AGUA PURIFICADA Y SUMINISTRO DE BIDONES DE 20 LITROS</t>
        </is>
      </c>
      <c r="C268" s="11" t="n">
        <v>16</v>
      </c>
      <c r="D268" s="13" t="inlineStr">
        <is>
          <t>score 16 &lt; 30</t>
        </is>
      </c>
    </row>
    <row r="269">
      <c r="A269" s="11" t="inlineStr">
        <is>
          <t>633-54-LP26</t>
        </is>
      </c>
      <c r="B269" s="13" t="inlineStr">
        <is>
          <t>CONVENIO DE SUMINISTRO SERVICIO DE ARRIENDO DE MOD</t>
        </is>
      </c>
      <c r="C269" s="11" t="n">
        <v>0</v>
      </c>
      <c r="D269" s="13" t="inlineStr">
        <is>
          <t>score 0 &lt; 30</t>
        </is>
      </c>
    </row>
    <row r="270">
      <c r="A270" s="11" t="inlineStr">
        <is>
          <t>638-14-O126</t>
        </is>
      </c>
      <c r="B270" s="13" t="inlineStr">
        <is>
          <t>CONSTRUCCIÓN EDIFICIO INSTITUCIONAL MINVU MAGALLANES Y ANTÁRTICA CHILENA</t>
        </is>
      </c>
      <c r="C270" s="11" t="n">
        <v>8</v>
      </c>
      <c r="D270" s="13" t="inlineStr">
        <is>
          <t>solo mencion de inmueble, sin servicio inmobiliario</t>
        </is>
      </c>
    </row>
    <row r="271">
      <c r="A271" s="11" t="inlineStr">
        <is>
          <t>653-15-O126</t>
        </is>
      </c>
      <c r="B271" s="13" t="inlineStr">
        <is>
          <t>Habilitación de Terrenos Etapa V Lote D y E, Las Americas, Talca</t>
        </is>
      </c>
      <c r="C271" s="11" t="n">
        <v>15</v>
      </c>
      <c r="D271" s="13" t="inlineStr">
        <is>
          <t>score 15 &lt; 30</t>
        </is>
      </c>
    </row>
    <row r="272">
      <c r="A272" s="11" t="inlineStr">
        <is>
          <t>697055-7-LE26</t>
        </is>
      </c>
      <c r="B272" s="13" t="inlineStr">
        <is>
          <t xml:space="preserve">HABILITACION SALA ENTREVISTA VIDEO GRABADA </t>
        </is>
      </c>
      <c r="C272" s="11" t="n">
        <v>0</v>
      </c>
      <c r="D272" s="13" t="inlineStr">
        <is>
          <t>score 0 &lt; 30</t>
        </is>
      </c>
    </row>
    <row r="273">
      <c r="A273" s="11" t="inlineStr">
        <is>
          <t>697055-8-LE26</t>
        </is>
      </c>
      <c r="B273" s="13" t="inlineStr">
        <is>
          <t>HABILITACION DE OFICINA PARA LA FISCALIA REGIONAL</t>
        </is>
      </c>
      <c r="C273" s="11" t="n">
        <v>16</v>
      </c>
      <c r="D273" s="13" t="inlineStr">
        <is>
          <t>score 16 &lt; 30</t>
        </is>
      </c>
    </row>
    <row r="274">
      <c r="A274" s="11" t="inlineStr">
        <is>
          <t>707409-26-L126</t>
        </is>
      </c>
      <c r="B274" s="13" t="inlineStr">
        <is>
          <t>Carta certificada y Correspondencia simple y Encomiendas para Jardines Infantiles Y Oficina Regionales de Arica y Parinacota de fundación integra</t>
        </is>
      </c>
      <c r="C274" s="11" t="n">
        <v>10</v>
      </c>
      <c r="D274" s="13" t="inlineStr">
        <is>
          <t>solo mencion de inmueble, sin servicio inmobiliario</t>
        </is>
      </c>
    </row>
    <row r="275">
      <c r="A275" s="11" t="inlineStr">
        <is>
          <t>707426-38-L126</t>
        </is>
      </c>
      <c r="B275" s="13" t="inlineStr">
        <is>
          <t>Construcción de cierre perimetral y limpieza de terreno en la localidad de Melinka Comuna de Guaitecas Fundación Integra en la Región de Aysén.</t>
        </is>
      </c>
      <c r="C275" s="11" t="n">
        <v>9</v>
      </c>
      <c r="D275" s="13" t="inlineStr">
        <is>
          <t>solo mencion de inmueble, sin servicio inmobiliario</t>
        </is>
      </c>
    </row>
    <row r="276">
      <c r="A276" s="11" t="inlineStr">
        <is>
          <t>712307-22-LR26</t>
        </is>
      </c>
      <c r="B276" s="13" t="inlineStr">
        <is>
          <t>Conservación Parque Pulmahue Padre Las Casas</t>
        </is>
      </c>
      <c r="C276" s="11" t="n">
        <v>5</v>
      </c>
      <c r="D276" s="13" t="inlineStr">
        <is>
          <t>solo mencion de inmueble, sin servicio inmobiliario</t>
        </is>
      </c>
    </row>
    <row r="277">
      <c r="A277" s="11" t="inlineStr">
        <is>
          <t>727202-75-LE26</t>
        </is>
      </c>
      <c r="B277" s="13" t="inlineStr">
        <is>
          <t>HABILITACIÓN PUNTOS DE CÁMARAS Y SALA DE MONITOREO</t>
        </is>
      </c>
      <c r="C277" s="11" t="n">
        <v>0</v>
      </c>
      <c r="D277" s="13" t="inlineStr">
        <is>
          <t>score 0 &lt; 30</t>
        </is>
      </c>
    </row>
    <row r="278">
      <c r="A278" s="11" t="inlineStr">
        <is>
          <t>731110-2-LE26</t>
        </is>
      </c>
      <c r="B278" s="13" t="inlineStr">
        <is>
          <t>Servicio De Traslado De Documentos Y Valijas</t>
        </is>
      </c>
      <c r="C278" s="11" t="n">
        <v>0</v>
      </c>
      <c r="D278" s="13" t="inlineStr">
        <is>
          <t>score 0 &lt; 30</t>
        </is>
      </c>
    </row>
    <row r="279">
      <c r="A279" s="11" t="inlineStr">
        <is>
          <t>731159-3-L126</t>
        </is>
      </c>
      <c r="B279" s="13" t="inlineStr">
        <is>
          <t>Servicio de traslado de personas para el 12° Juzgado de Garantía de Santiago</t>
        </is>
      </c>
      <c r="C279" s="11" t="n">
        <v>0</v>
      </c>
      <c r="D279" s="13" t="inlineStr">
        <is>
          <t>score 0 &lt; 30</t>
        </is>
      </c>
    </row>
    <row r="280">
      <c r="A280" s="11" t="inlineStr">
        <is>
          <t>732434-24-I226</t>
        </is>
      </c>
      <c r="B280" s="13" t="inlineStr">
        <is>
          <t>3er llamado: Arriendo de Cámaras Frías para el CSC</t>
        </is>
      </c>
      <c r="C280" s="11" t="n">
        <v>0</v>
      </c>
      <c r="D280" s="13" t="inlineStr">
        <is>
          <t>score 0 &lt; 30</t>
        </is>
      </c>
    </row>
    <row r="281">
      <c r="A281" s="11" t="inlineStr">
        <is>
          <t>739231-20-LE26</t>
        </is>
      </c>
      <c r="B281" s="13" t="inlineStr">
        <is>
          <t>Conservación Recintos de Captación de Agua Rural</t>
        </is>
      </c>
      <c r="C281" s="11" t="n">
        <v>5</v>
      </c>
      <c r="D281" s="13" t="inlineStr">
        <is>
          <t>solo mencion de inmueble, sin servicio inmobiliario</t>
        </is>
      </c>
    </row>
    <row r="282">
      <c r="A282" s="11" t="inlineStr">
        <is>
          <t>800-7-B226</t>
        </is>
      </c>
      <c r="B282" s="13" t="inlineStr">
        <is>
          <t>SUMINISTRO DE BAJADAS DE BOMBAS DE INFUSION CONTINUA DE ANALGESIA CONTROLADA POR EL PACIENTE CON EQUIPO EN COMODATO</t>
        </is>
      </c>
      <c r="C282" s="11" t="n">
        <v>0</v>
      </c>
      <c r="D282" s="13" t="inlineStr">
        <is>
          <t>score 0 &lt; 30</t>
        </is>
      </c>
    </row>
    <row r="283">
      <c r="A283" s="11" t="inlineStr">
        <is>
          <t>813-103-LP26</t>
        </is>
      </c>
      <c r="B283" s="13" t="inlineStr">
        <is>
          <t>PP 53.2026 Adquisición material de laboratorio para el Departamento de Salud Ocupacional E102RT9.</t>
        </is>
      </c>
      <c r="C283" s="11" t="n">
        <v>5</v>
      </c>
      <c r="D283" s="13" t="inlineStr">
        <is>
          <t>solo mencion de inmueble, sin servicio inmobiliario</t>
        </is>
      </c>
    </row>
    <row r="284">
      <c r="A284" s="11" t="inlineStr">
        <is>
          <t>813-105-LR26</t>
        </is>
      </c>
      <c r="B284" s="13" t="inlineStr">
        <is>
          <t>PP 49.2026 Adquisición bajo la modalidad de suministro de material de laboratorio para el Departamento Nacional de Referencia de Salud Ambiental E102RT9.</t>
        </is>
      </c>
      <c r="C284" s="11" t="n">
        <v>5</v>
      </c>
      <c r="D284" s="13" t="inlineStr">
        <is>
          <t>solo mencion de inmueble, sin servicio inmobiliario</t>
        </is>
      </c>
    </row>
    <row r="285">
      <c r="A285" s="11" t="inlineStr">
        <is>
          <t>813-35-LP26</t>
        </is>
      </c>
      <c r="B285" s="13" t="inlineStr">
        <is>
          <t>PP 47-2026 Reactivos Departamento Salud Ambiental</t>
        </is>
      </c>
      <c r="C285" s="11" t="n">
        <v>5</v>
      </c>
      <c r="D285" s="13" t="inlineStr">
        <is>
          <t>solo mencion de inmueble, sin servicio inmobiliario</t>
        </is>
      </c>
    </row>
    <row r="286">
      <c r="A286" s="11" t="inlineStr">
        <is>
          <t>820-3-O126</t>
        </is>
      </c>
      <c r="B286" s="13" t="inlineStr">
        <is>
          <t>RESTAURACIÓN Y HABILITACIÓN BIBLIOTECA MUNICIPAL EX ESCUELA 3, HUASCO</t>
        </is>
      </c>
      <c r="C286" s="11" t="n">
        <v>0</v>
      </c>
      <c r="D286" s="13" t="inlineStr">
        <is>
          <t>score 0 &lt; 30</t>
        </is>
      </c>
    </row>
    <row r="287">
      <c r="A287" s="11" t="inlineStr">
        <is>
          <t>829-2-O126</t>
        </is>
      </c>
      <c r="B287" s="13" t="inlineStr">
        <is>
          <t>HABILITACION Y AMPLIACION EDIFICIO GORE MAGALLANES-2DO LLAMADO</t>
        </is>
      </c>
      <c r="C287" s="11" t="n">
        <v>14</v>
      </c>
      <c r="D287" s="13" t="inlineStr">
        <is>
          <t>score 14 &lt; 30</t>
        </is>
      </c>
    </row>
    <row r="288">
      <c r="A288" s="11" t="inlineStr">
        <is>
          <t>854-29-LE26</t>
        </is>
      </c>
      <c r="B288" s="13" t="inlineStr">
        <is>
          <t>ARRIENDO ESPACIO RADIAL JARDIN DISTANCIA JUNJI XI.</t>
        </is>
      </c>
      <c r="C288" s="11" t="n">
        <v>0</v>
      </c>
      <c r="D288" s="13" t="inlineStr">
        <is>
          <t>score 0 &lt; 30</t>
        </is>
      </c>
    </row>
    <row r="289">
      <c r="A289" s="11" t="inlineStr">
        <is>
          <t>855-18-LR26</t>
        </is>
      </c>
      <c r="B289" s="13" t="inlineStr">
        <is>
          <t xml:space="preserve">CHEE-SUMINISTRO MANTENCION Y REPARACION DEPENDENCIAS JUNJI XII </t>
        </is>
      </c>
      <c r="C289" s="11" t="n">
        <v>8</v>
      </c>
      <c r="D289" s="13" t="inlineStr">
        <is>
          <t>solo mencion de inmueble, sin servicio inmobiliario</t>
        </is>
      </c>
    </row>
    <row r="290">
      <c r="A290" s="11" t="inlineStr">
        <is>
          <t>875646-69-LP26</t>
        </is>
      </c>
      <c r="B290" s="13" t="inlineStr">
        <is>
          <t>JCB. Servicio de arriendo de sistema RISPACS</t>
        </is>
      </c>
      <c r="C290" s="11" t="n">
        <v>0</v>
      </c>
      <c r="D290" s="13" t="inlineStr">
        <is>
          <t>score 0 &lt; 30</t>
        </is>
      </c>
    </row>
    <row r="291">
      <c r="A291" s="11" t="inlineStr">
        <is>
          <t>886954-294-LP26</t>
        </is>
      </c>
      <c r="B291" s="13" t="inlineStr">
        <is>
          <t>Conv. Suministro Prótesis Para U. Medicina Fisica y Rehabilitación del HGGB</t>
        </is>
      </c>
      <c r="C291" s="11" t="n">
        <v>0</v>
      </c>
      <c r="D291" s="13" t="inlineStr">
        <is>
          <t>score 0 &lt; 30</t>
        </is>
      </c>
    </row>
    <row r="292">
      <c r="A292" s="11" t="inlineStr">
        <is>
          <t>886954-298-LP26</t>
        </is>
      </c>
      <c r="B292" s="13" t="inlineStr">
        <is>
          <t>Convenio Suministro de Cataratas con Equipos en Comodatos</t>
        </is>
      </c>
      <c r="C292" s="11" t="n">
        <v>0</v>
      </c>
      <c r="D292" s="13" t="inlineStr">
        <is>
          <t>score 0 &lt; 30</t>
        </is>
      </c>
    </row>
    <row r="293">
      <c r="A293" s="11" t="inlineStr">
        <is>
          <t>889473-54-LP26</t>
        </is>
      </c>
      <c r="B293" s="13" t="inlineStr">
        <is>
          <t>SC 6506 - 8599 Levan. Inventario y Sistema de Gest</t>
        </is>
      </c>
      <c r="C293" s="11" t="n">
        <v>10</v>
      </c>
      <c r="D293" s="13" t="inlineStr">
        <is>
          <t>score 10 &lt; 30</t>
        </is>
      </c>
    </row>
    <row r="294">
      <c r="A294" s="11" t="inlineStr">
        <is>
          <t>899-42-LP26</t>
        </is>
      </c>
      <c r="B294" s="13" t="inlineStr">
        <is>
          <t>“Servicio de Mantenimiento de Infraestructura para el Hospital San José de Casablanca por 24 meses”</t>
        </is>
      </c>
      <c r="C294" s="11" t="n">
        <v>5</v>
      </c>
      <c r="D294" s="13" t="inlineStr">
        <is>
          <t>solo mencion de inmueble, sin servicio inmobiliario</t>
        </is>
      </c>
    </row>
    <row r="295">
      <c r="A295" s="11" t="inlineStr">
        <is>
          <t>900-45-LP26</t>
        </is>
      </c>
      <c r="B295" s="13" t="inlineStr">
        <is>
          <t xml:space="preserve">Servicio de Habilitación sala UHCIP </t>
        </is>
      </c>
      <c r="C295" s="11" t="n">
        <v>6</v>
      </c>
      <c r="D295" s="13" t="inlineStr">
        <is>
          <t>score 6 &lt; 30</t>
        </is>
      </c>
    </row>
    <row r="296">
      <c r="A296" s="11" t="inlineStr">
        <is>
          <t>900-62-L126</t>
        </is>
      </c>
      <c r="B296" s="13" t="inlineStr">
        <is>
          <t>HDS - COMPRA DE MATERIALES DE OFICINA, BODEGA DE ABASTECIMIENTO</t>
        </is>
      </c>
      <c r="C296" s="11" t="n">
        <v>10</v>
      </c>
      <c r="D296" s="13" t="inlineStr">
        <is>
          <t>solo mencion de inmueble, sin servicio inmobiliario</t>
        </is>
      </c>
    </row>
    <row r="297">
      <c r="A297" s="11" t="inlineStr">
        <is>
          <t>928-27-LR26</t>
        </is>
      </c>
      <c r="B297" s="13" t="inlineStr">
        <is>
          <t>SERVICIO DE ARRENDAMIENTO DE PERIMETROS FREESTANDING</t>
        </is>
      </c>
      <c r="C297" s="11" t="n">
        <v>0</v>
      </c>
      <c r="D297" s="13" t="inlineStr">
        <is>
          <t>score 0 &lt; 30</t>
        </is>
      </c>
    </row>
    <row r="298">
      <c r="A298" s="11" t="inlineStr">
        <is>
          <t>935-25-LP26</t>
        </is>
      </c>
      <c r="B298" s="13" t="inlineStr">
        <is>
          <t>MEJORAMIENTO CUBIERTA ZONA OFICINA GIMNASIO FISCAL</t>
        </is>
      </c>
      <c r="C298" s="11" t="n">
        <v>10</v>
      </c>
      <c r="D298" s="13" t="inlineStr">
        <is>
          <t>solo mencion de inmueble, sin servicio inmobiliario</t>
        </is>
      </c>
    </row>
    <row r="299">
      <c r="A299" s="11" t="inlineStr">
        <is>
          <t>935-26-LE26</t>
        </is>
      </c>
      <c r="B299" s="13" t="inlineStr">
        <is>
          <t>SUMINISTRO ART. FERRETERIA RECINTOS IND XII REGION</t>
        </is>
      </c>
      <c r="C299" s="11" t="n">
        <v>5</v>
      </c>
      <c r="D299" s="13" t="inlineStr">
        <is>
          <t>solo mencion de inmueble, sin servicio inmobiliario</t>
        </is>
      </c>
    </row>
    <row r="300">
      <c r="A300" s="11" t="inlineStr">
        <is>
          <t>948356-155-LE26</t>
        </is>
      </c>
      <c r="B300" s="13" t="inlineStr">
        <is>
          <t xml:space="preserve">Adquisición de Crema de Manos con Urea y Jabón Líquido Neutro con equipo en Comodato </t>
        </is>
      </c>
      <c r="C300" s="11" t="n">
        <v>0</v>
      </c>
      <c r="D300" s="13" t="inlineStr">
        <is>
          <t>score 0 &lt; 30</t>
        </is>
      </c>
    </row>
    <row r="301">
      <c r="A301" s="11" t="inlineStr">
        <is>
          <t>979-57-L126</t>
        </is>
      </c>
      <c r="B301" s="13" t="inlineStr">
        <is>
          <t xml:space="preserve"> Adquisición de hojas prepicadas y formularios de denuncios para el Departamento de Pesaje de la Dirección de Vialidad</t>
        </is>
      </c>
      <c r="C301" s="11" t="n">
        <v>5</v>
      </c>
      <c r="D301" s="13" t="inlineStr">
        <is>
          <t>solo mencion de inmueble, sin servicio inmobiliario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2026-09-30T21:03:41Z</dcterms:created>
  <dcterms:modified xsi:type="dcterms:W3CDTF">2026-09-30T21:03:41Z</dcterms:modified>
</cp:coreProperties>
</file>